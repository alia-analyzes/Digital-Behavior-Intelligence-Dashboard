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F60FF262-3484-46AD-9129-E659ED5E1D0F}" xr6:coauthVersionLast="47" xr6:coauthVersionMax="47" xr10:uidLastSave="{00000000-0000-0000-0000-000000000000}"/>
  <bookViews>
    <workbookView xWindow="-108" yWindow="-108" windowWidth="23256" windowHeight="12576" xr2:uid="{47A6FBA5-C3C5-4B8F-9121-55ABD877A83E}"/>
  </bookViews>
  <sheets>
    <sheet name="Raw Data Table " sheetId="1" r:id="rId1"/>
    <sheet name="Analysis.2" sheetId="9" r:id="rId2"/>
    <sheet name="Analysis" sheetId="2" r:id="rId3"/>
    <sheet name="Dashboard" sheetId="3" r:id="rId4"/>
  </sheets>
  <definedNames>
    <definedName name="Slicer_Date">#N/A</definedName>
    <definedName name="Slicer_Day">#N/A</definedName>
    <definedName name="Slicer_Most_Used_App__App_Nam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 l="1"/>
  <c r="H9" i="2"/>
  <c r="H7" i="2"/>
  <c r="C13" i="1" l="1"/>
  <c r="K14" i="1"/>
  <c r="J14" i="1"/>
  <c r="E14" i="1"/>
  <c r="G14" i="1"/>
  <c r="I14" i="1"/>
  <c r="I13" i="1"/>
  <c r="C14" i="1"/>
  <c r="H7" i="1"/>
  <c r="H8" i="1"/>
  <c r="H6" i="1"/>
  <c r="H14" i="1" s="1"/>
  <c r="K13" i="1"/>
  <c r="J13" i="1"/>
  <c r="G13" i="1"/>
  <c r="E13" i="1"/>
  <c r="I7" i="2"/>
  <c r="L7" i="2"/>
  <c r="K7" i="2"/>
  <c r="J7" i="2"/>
  <c r="H13" i="1" l="1"/>
</calcChain>
</file>

<file path=xl/sharedStrings.xml><?xml version="1.0" encoding="utf-8"?>
<sst xmlns="http://schemas.openxmlformats.org/spreadsheetml/2006/main" count="149" uniqueCount="48">
  <si>
    <t>📱 Weekly Screen Time Tracker</t>
  </si>
  <si>
    <t>Date</t>
  </si>
  <si>
    <t>Day</t>
  </si>
  <si>
    <t>Total Screen Time
(hrs)</t>
  </si>
  <si>
    <t>Most Used App
(App Name)</t>
  </si>
  <si>
    <t>Top App Time
(hrs)</t>
  </si>
  <si>
    <t>2nd App</t>
  </si>
  <si>
    <t>2nd App Time
(hrs)</t>
  </si>
  <si>
    <t>No. of Pickups</t>
  </si>
  <si>
    <t>Monday</t>
  </si>
  <si>
    <t>Tuesday</t>
  </si>
  <si>
    <t>Wednesday</t>
  </si>
  <si>
    <t>Thursday</t>
  </si>
  <si>
    <t>Friday</t>
  </si>
  <si>
    <t>Saturday</t>
  </si>
  <si>
    <t>Sunday</t>
  </si>
  <si>
    <t>Instagram</t>
  </si>
  <si>
    <t>Whatsapp</t>
  </si>
  <si>
    <t>Notifications</t>
  </si>
  <si>
    <t xml:space="preserve">Google </t>
  </si>
  <si>
    <t>Productive Time</t>
  </si>
  <si>
    <t>Entertainment Time</t>
  </si>
  <si>
    <t>Youtube</t>
  </si>
  <si>
    <t>📊 7-Day Summary (Total)</t>
  </si>
  <si>
    <t>AVERGE</t>
  </si>
  <si>
    <t>LinkedIn</t>
  </si>
  <si>
    <t xml:space="preserve">LinkedIn </t>
  </si>
  <si>
    <t>Row Labels</t>
  </si>
  <si>
    <t>Grand Total</t>
  </si>
  <si>
    <t>Sum of Total Screen Time</t>
  </si>
  <si>
    <t>Digital Behavior Analytics Dashboard</t>
  </si>
  <si>
    <t xml:space="preserve">Daily screen time trend - </t>
  </si>
  <si>
    <t>Sum of Productive Time</t>
  </si>
  <si>
    <t>Productive vs Entertainment Analysis</t>
  </si>
  <si>
    <t>Values</t>
  </si>
  <si>
    <t xml:space="preserve"> Productive Time</t>
  </si>
  <si>
    <t xml:space="preserve"> Entertainment Time</t>
  </si>
  <si>
    <t>pie chart-</t>
  </si>
  <si>
    <t>Sum of No. of Pickups</t>
  </si>
  <si>
    <t>Sum of Notifications</t>
  </si>
  <si>
    <t>Average of Total Screen Time</t>
  </si>
  <si>
    <t>kpi's</t>
  </si>
  <si>
    <t xml:space="preserve">Daily </t>
  </si>
  <si>
    <t>Entertainment Time.</t>
  </si>
  <si>
    <t>Productive Time.</t>
  </si>
  <si>
    <t>Notifications vs Pickups Correlation</t>
  </si>
  <si>
    <t>Sum of Top App Time</t>
  </si>
  <si>
    <t>Digitial activity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</si>
</sst>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h:mm;@"/>
    <numFmt numFmtId="165" formatCode="[$-14009]hh:mm;@"/>
    <numFmt numFmtId="166" formatCode="[h]:mm"/>
    <numFmt numFmtId="167" formatCode="0.0%"/>
  </numFmts>
  <fonts count="18" x14ac:knownFonts="1">
    <font>
      <sz val="11"/>
      <color theme="1"/>
      <name val="Aptos Narrow"/>
      <family val="2"/>
      <scheme val="minor"/>
    </font>
    <font>
      <b/>
      <sz val="14"/>
      <color rgb="FFFFFFFF"/>
      <name val="Arial"/>
      <family val="2"/>
    </font>
    <font>
      <i/>
      <sz val="9"/>
      <color rgb="FF666666"/>
      <name val="Arial"/>
      <family val="2"/>
    </font>
    <font>
      <sz val="11"/>
      <color theme="1"/>
      <name val="Calibri"/>
      <family val="2"/>
    </font>
    <font>
      <b/>
      <sz val="11"/>
      <color rgb="FFFFFFFF"/>
      <name val="Arial"/>
      <family val="2"/>
    </font>
    <font>
      <b/>
      <sz val="10"/>
      <color rgb="FF333333"/>
      <name val="Arial"/>
      <family val="2"/>
    </font>
    <font>
      <b/>
      <sz val="10"/>
      <color rgb="FFFFFFFF"/>
      <name val="Arial"/>
      <family val="2"/>
    </font>
    <font>
      <sz val="8"/>
      <name val="Aptos Narrow"/>
      <family val="2"/>
      <scheme val="minor"/>
    </font>
    <font>
      <b/>
      <sz val="10"/>
      <color theme="0" tint="-4.9989318521683403E-2"/>
      <name val="Arial"/>
      <family val="2"/>
    </font>
    <font>
      <b/>
      <sz val="11"/>
      <color theme="0" tint="-4.9989318521683403E-2"/>
      <name val="Aptos Narrow"/>
      <family val="2"/>
      <scheme val="minor"/>
    </font>
    <font>
      <b/>
      <sz val="20"/>
      <color rgb="FFFFCCCC"/>
      <name val="Bookman Old Style"/>
      <family val="1"/>
    </font>
    <font>
      <sz val="14"/>
      <color rgb="FF000000"/>
      <name val="Bookman Old Style"/>
      <family val="1"/>
    </font>
    <font>
      <sz val="11"/>
      <color theme="1"/>
      <name val="Aptos Narrow"/>
      <family val="2"/>
      <scheme val="minor"/>
    </font>
    <font>
      <b/>
      <u/>
      <sz val="18"/>
      <color rgb="FF000000"/>
      <name val="Calibri"/>
      <family val="2"/>
    </font>
    <font>
      <b/>
      <sz val="8"/>
      <color rgb="FF000000"/>
      <name val="Calibri"/>
      <family val="2"/>
    </font>
    <font>
      <sz val="11"/>
      <color rgb="FFF298A5"/>
      <name val="Aptos Narrow"/>
      <family val="2"/>
      <scheme val="minor"/>
    </font>
    <font>
      <b/>
      <sz val="20"/>
      <color rgb="FFF5F7FA"/>
      <name val="Bookman Old Style"/>
      <family val="1"/>
    </font>
    <font>
      <sz val="11"/>
      <name val="Aptos Narrow"/>
      <family val="2"/>
      <scheme val="minor"/>
    </font>
  </fonts>
  <fills count="5">
    <fill>
      <patternFill patternType="none"/>
    </fill>
    <fill>
      <patternFill patternType="gray125"/>
    </fill>
    <fill>
      <patternFill patternType="solid">
        <fgColor rgb="FFFF6699"/>
        <bgColor indexed="64"/>
      </patternFill>
    </fill>
    <fill>
      <patternFill patternType="solid">
        <fgColor theme="0"/>
        <bgColor indexed="64"/>
      </patternFill>
    </fill>
    <fill>
      <patternFill patternType="solid">
        <fgColor rgb="FFFFCCCC"/>
        <bgColor indexed="64"/>
      </patternFill>
    </fill>
  </fills>
  <borders count="9">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BBBBBB"/>
      </bottom>
      <diagonal/>
    </border>
    <border>
      <left style="medium">
        <color rgb="FFBBBBBB"/>
      </left>
      <right style="medium">
        <color rgb="FFBBBBBB"/>
      </right>
      <top style="medium">
        <color rgb="FFCCCCCC"/>
      </top>
      <bottom style="medium">
        <color rgb="FFBBBBBB"/>
      </bottom>
      <diagonal/>
    </border>
    <border>
      <left style="medium">
        <color rgb="FFCCCCCC"/>
      </left>
      <right style="medium">
        <color rgb="FFBBBBBB"/>
      </right>
      <top style="medium">
        <color rgb="FFCCCCCC"/>
      </top>
      <bottom style="medium">
        <color rgb="FFBBBBBB"/>
      </bottom>
      <diagonal/>
    </border>
    <border>
      <left style="medium">
        <color rgb="FFBBBBBB"/>
      </left>
      <right/>
      <top style="medium">
        <color rgb="FFBBBBBB"/>
      </top>
      <bottom style="medium">
        <color rgb="FFBBBBBB"/>
      </bottom>
      <diagonal/>
    </border>
    <border>
      <left/>
      <right style="medium">
        <color rgb="FFBBBBBB"/>
      </right>
      <top style="medium">
        <color rgb="FFBBBBBB"/>
      </top>
      <bottom style="medium">
        <color rgb="FFBBBBBB"/>
      </bottom>
      <diagonal/>
    </border>
  </borders>
  <cellStyleXfs count="2">
    <xf numFmtId="0" fontId="0" fillId="0" borderId="0"/>
    <xf numFmtId="9" fontId="12" fillId="0" borderId="0" applyFont="0" applyFill="0" applyBorder="0" applyAlignment="0" applyProtection="0"/>
  </cellStyleXfs>
  <cellXfs count="61">
    <xf numFmtId="0" fontId="0" fillId="0" borderId="0" xfId="0"/>
    <xf numFmtId="0" fontId="3" fillId="0" borderId="4" xfId="0" applyFont="1" applyBorder="1" applyAlignment="1">
      <alignment wrapText="1"/>
    </xf>
    <xf numFmtId="0" fontId="3" fillId="0" borderId="4" xfId="0" applyFont="1" applyBorder="1" applyAlignment="1">
      <alignment horizontal="left" wrapText="1"/>
    </xf>
    <xf numFmtId="0" fontId="0" fillId="0" borderId="0" xfId="0" applyAlignment="1">
      <alignment horizontal="left"/>
    </xf>
    <xf numFmtId="0" fontId="3" fillId="0" borderId="4" xfId="0" applyFont="1" applyBorder="1" applyAlignment="1">
      <alignment horizontal="center" vertical="top" wrapText="1"/>
    </xf>
    <xf numFmtId="0" fontId="3" fillId="0" borderId="4" xfId="0" applyFont="1" applyBorder="1" applyAlignment="1">
      <alignment vertical="top" wrapText="1"/>
    </xf>
    <xf numFmtId="164" fontId="3" fillId="0" borderId="4" xfId="0" applyNumberFormat="1" applyFont="1" applyBorder="1" applyAlignment="1">
      <alignment horizontal="center" vertical="top" wrapText="1"/>
    </xf>
    <xf numFmtId="166" fontId="6" fillId="2" borderId="6" xfId="0" applyNumberFormat="1" applyFont="1" applyFill="1" applyBorder="1" applyAlignment="1">
      <alignment horizontal="center" vertical="top" wrapText="1"/>
    </xf>
    <xf numFmtId="0" fontId="6" fillId="2" borderId="6" xfId="0" applyFont="1" applyFill="1" applyBorder="1" applyAlignment="1">
      <alignment horizontal="center" vertical="top" wrapText="1"/>
    </xf>
    <xf numFmtId="20" fontId="6" fillId="2" borderId="6" xfId="0" applyNumberFormat="1" applyFont="1" applyFill="1" applyBorder="1" applyAlignment="1">
      <alignment horizontal="center" vertical="top" wrapText="1"/>
    </xf>
    <xf numFmtId="164" fontId="6" fillId="2" borderId="6" xfId="0" applyNumberFormat="1" applyFont="1" applyFill="1" applyBorder="1" applyAlignment="1">
      <alignment horizontal="center" vertical="top" wrapText="1"/>
    </xf>
    <xf numFmtId="0" fontId="0" fillId="2" borderId="0" xfId="0" applyFill="1"/>
    <xf numFmtId="0" fontId="8" fillId="2" borderId="6" xfId="0" applyFont="1" applyFill="1" applyBorder="1" applyAlignment="1">
      <alignment horizontal="center" vertical="top" wrapText="1"/>
    </xf>
    <xf numFmtId="0" fontId="9" fillId="2" borderId="0" xfId="0" applyFont="1" applyFill="1" applyAlignment="1">
      <alignment horizontal="center"/>
    </xf>
    <xf numFmtId="165" fontId="9" fillId="2" borderId="0" xfId="0" applyNumberFormat="1" applyFont="1" applyFill="1" applyAlignment="1">
      <alignment horizontal="center"/>
    </xf>
    <xf numFmtId="20" fontId="9" fillId="2" borderId="0" xfId="0" applyNumberFormat="1" applyFont="1" applyFill="1" applyAlignment="1">
      <alignment horizontal="center"/>
    </xf>
    <xf numFmtId="164" fontId="9" fillId="2" borderId="0" xfId="0" applyNumberFormat="1" applyFont="1" applyFill="1" applyAlignment="1">
      <alignment horizontal="center"/>
    </xf>
    <xf numFmtId="0" fontId="0" fillId="3" borderId="0" xfId="0" applyFill="1"/>
    <xf numFmtId="0" fontId="9" fillId="3" borderId="0" xfId="0" applyFont="1" applyFill="1" applyAlignment="1">
      <alignment horizontal="center"/>
    </xf>
    <xf numFmtId="0" fontId="4" fillId="2" borderId="5"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4" fillId="2" borderId="6" xfId="0" applyFont="1" applyFill="1" applyBorder="1" applyAlignment="1">
      <alignment horizontal="center" vertical="top" wrapText="1"/>
    </xf>
    <xf numFmtId="164" fontId="4" fillId="2" borderId="6" xfId="0" applyNumberFormat="1" applyFont="1" applyFill="1" applyBorder="1" applyAlignment="1">
      <alignment horizontal="center" vertical="top" wrapText="1"/>
    </xf>
    <xf numFmtId="0" fontId="4" fillId="2" borderId="6" xfId="0" applyFont="1" applyFill="1" applyBorder="1" applyAlignment="1">
      <alignment horizontal="center" vertical="center" wrapText="1"/>
    </xf>
    <xf numFmtId="14" fontId="3" fillId="4" borderId="5" xfId="0" applyNumberFormat="1" applyFont="1" applyFill="1" applyBorder="1" applyAlignment="1">
      <alignment vertical="center" wrapText="1"/>
    </xf>
    <xf numFmtId="0" fontId="5" fillId="4" borderId="6" xfId="0" applyFont="1" applyFill="1" applyBorder="1" applyAlignment="1">
      <alignment horizontal="left" vertical="center" wrapText="1"/>
    </xf>
    <xf numFmtId="166" fontId="3" fillId="4" borderId="6" xfId="0" applyNumberFormat="1" applyFont="1" applyFill="1" applyBorder="1" applyAlignment="1">
      <alignment horizontal="center" vertical="top" wrapText="1"/>
    </xf>
    <xf numFmtId="0" fontId="3" fillId="4" borderId="6" xfId="0" applyFont="1" applyFill="1" applyBorder="1" applyAlignment="1">
      <alignment horizontal="center" vertical="top" wrapText="1"/>
    </xf>
    <xf numFmtId="20" fontId="3" fillId="4" borderId="6" xfId="0" applyNumberFormat="1" applyFont="1" applyFill="1" applyBorder="1" applyAlignment="1">
      <alignment horizontal="center" vertical="top" wrapText="1"/>
    </xf>
    <xf numFmtId="164" fontId="3" fillId="4" borderId="6" xfId="0" applyNumberFormat="1" applyFont="1" applyFill="1" applyBorder="1" applyAlignment="1">
      <alignment horizontal="center" vertical="top" wrapText="1"/>
    </xf>
    <xf numFmtId="0" fontId="0" fillId="0" borderId="0" xfId="0" pivotButton="1"/>
    <xf numFmtId="166" fontId="0" fillId="0" borderId="0" xfId="0" applyNumberFormat="1"/>
    <xf numFmtId="0" fontId="0" fillId="4" borderId="0" xfId="0" applyFill="1"/>
    <xf numFmtId="20" fontId="0" fillId="0" borderId="0" xfId="0" applyNumberFormat="1"/>
    <xf numFmtId="166" fontId="0" fillId="0" borderId="0" xfId="0" pivotButton="1" applyNumberFormat="1"/>
    <xf numFmtId="166" fontId="0" fillId="0" borderId="0" xfId="0" applyNumberFormat="1" applyAlignment="1">
      <alignment horizontal="left"/>
    </xf>
    <xf numFmtId="164" fontId="0" fillId="0" borderId="0" xfId="0" applyNumberFormat="1"/>
    <xf numFmtId="1" fontId="0" fillId="0" borderId="0" xfId="0" applyNumberFormat="1"/>
    <xf numFmtId="46" fontId="0" fillId="4" borderId="0" xfId="0" applyNumberFormat="1" applyFill="1"/>
    <xf numFmtId="0" fontId="11" fillId="4" borderId="0" xfId="0" applyFont="1" applyFill="1" applyAlignment="1">
      <alignment horizontal="center" vertical="center" readingOrder="1"/>
    </xf>
    <xf numFmtId="9" fontId="0" fillId="0" borderId="0" xfId="1" applyFont="1"/>
    <xf numFmtId="0" fontId="13" fillId="0" borderId="0" xfId="0" applyFont="1" applyAlignment="1">
      <alignment horizontal="center" vertical="center" readingOrder="1"/>
    </xf>
    <xf numFmtId="0" fontId="14" fillId="0" borderId="0" xfId="0" applyFont="1" applyAlignment="1">
      <alignment horizontal="center" vertical="center" readingOrder="1"/>
    </xf>
    <xf numFmtId="4" fontId="0" fillId="4" borderId="0" xfId="0" applyNumberFormat="1" applyFill="1"/>
    <xf numFmtId="0" fontId="0" fillId="0" borderId="0" xfId="0" applyAlignment="1">
      <alignment horizontal="right"/>
    </xf>
    <xf numFmtId="0" fontId="15" fillId="0" borderId="0" xfId="0" applyFont="1"/>
    <xf numFmtId="167" fontId="0" fillId="0" borderId="0" xfId="0" applyNumberFormat="1"/>
    <xf numFmtId="0" fontId="17" fillId="4" borderId="0" xfId="0" applyFont="1" applyFill="1"/>
    <xf numFmtId="0" fontId="15" fillId="4" borderId="0" xfId="0" applyFont="1" applyFill="1"/>
    <xf numFmtId="0" fontId="10" fillId="4" borderId="0" xfId="0" applyFont="1" applyFill="1" applyAlignment="1">
      <alignment horizontal="center"/>
    </xf>
    <xf numFmtId="0" fontId="10" fillId="3" borderId="0" xfId="0" applyFont="1" applyFill="1" applyAlignment="1">
      <alignment horizontal="center"/>
    </xf>
    <xf numFmtId="0" fontId="16" fillId="4" borderId="0" xfId="0" applyFont="1" applyFill="1"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0" fillId="4" borderId="0" xfId="0" applyFill="1" applyAlignment="1">
      <alignment horizontal="center"/>
    </xf>
  </cellXfs>
  <cellStyles count="2">
    <cellStyle name="Normal" xfId="0" builtinId="0"/>
    <cellStyle name="Percent" xfId="1" builtinId="5"/>
  </cellStyles>
  <dxfs count="9">
    <dxf>
      <numFmt numFmtId="166" formatCode="[h]:mm"/>
    </dxf>
    <dxf>
      <numFmt numFmtId="166" formatCode="[h]:mm"/>
    </dxf>
    <dxf>
      <numFmt numFmtId="166" formatCode="[h]:mm"/>
    </dxf>
    <dxf>
      <numFmt numFmtId="166" formatCode="[h]:mm"/>
    </dxf>
    <dxf>
      <numFmt numFmtId="166" formatCode="[h]:mm"/>
    </dxf>
    <dxf>
      <numFmt numFmtId="167" formatCode="0.0%"/>
    </dxf>
    <dxf>
      <numFmt numFmtId="167" formatCode="0.0%"/>
    </dxf>
    <dxf>
      <font>
        <b/>
        <i val="0"/>
        <strike val="0"/>
        <sz val="18"/>
        <name val="Calibri"/>
        <family val="2"/>
        <scheme val="none"/>
      </font>
      <fill>
        <patternFill patternType="solid">
          <fgColor theme="4" tint="-0.499984740745262"/>
          <bgColor rgb="FFF298A5"/>
        </patternFill>
      </fill>
      <border diagonalUp="1">
        <left style="thin">
          <color auto="1"/>
        </left>
        <right style="thin">
          <color auto="1"/>
        </right>
        <top style="thin">
          <color auto="1"/>
        </top>
        <bottom style="thin">
          <color auto="1"/>
        </bottom>
        <diagonal style="thin">
          <color auto="1"/>
        </diagonal>
      </border>
    </dxf>
    <dxf>
      <font>
        <b/>
        <i val="0"/>
        <sz val="12"/>
        <name val="Calibri"/>
        <family val="2"/>
        <scheme val="none"/>
      </font>
      <fill>
        <patternFill>
          <bgColor rgb="FF0070C0"/>
        </patternFill>
      </fill>
    </dxf>
  </dxfs>
  <tableStyles count="2" defaultTableStyle="TableStyleMedium2" defaultPivotStyle="PivotStyleLight16">
    <tableStyle name="Slicer Style 1" pivot="0" table="0" count="1" xr9:uid="{A982559A-347C-42E5-AC91-CFABA9D528BE}">
      <tableStyleElement type="wholeTable" dxfId="8"/>
    </tableStyle>
    <tableStyle name="Slicer Style 2" pivot="0" table="0" count="1" xr9:uid="{1FB235BC-B543-477F-9CE8-FD2892A7A63B}">
      <tableStyleElement type="wholeTable" dxfId="7"/>
    </tableStyle>
  </tableStyles>
  <colors>
    <mruColors>
      <color rgb="FFFFCCCC"/>
      <color rgb="FFF298A5"/>
      <color rgb="FFF82C70"/>
      <color rgb="FFEA3A9F"/>
      <color rgb="FFF20096"/>
      <color rgb="FFFF6DC7"/>
      <color rgb="FFCC0000"/>
      <color rgb="FFF5F7FA"/>
      <color rgb="FFFA90FD"/>
      <color rgb="FFBA0073"/>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[Screen Time Tracker Data Final.xlsx]Analysis!PivotTable1</c:name>
    <c:fmtId val="1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a:noFill/>
          </a:ln>
          <a:effectLst>
            <a:outerShdw blurRad="317500" algn="ctr" rotWithShape="0">
              <a:prstClr val="black">
                <a:alpha val="25000"/>
              </a:prstClr>
            </a:outerShdw>
          </a:effectLst>
        </c:spPr>
      </c:pivotFmt>
      <c:pivotFmt>
        <c:idx val="3"/>
        <c:spPr>
          <a:solidFill>
            <a:schemeClr val="accent1">
              <a:tint val="77000"/>
            </a:schemeClr>
          </a:solidFill>
          <a:ln>
            <a:noFill/>
          </a:ln>
          <a:effectLst>
            <a:outerShdw blurRad="317500" algn="ctr" rotWithShape="0">
              <a:prstClr val="black">
                <a:alpha val="25000"/>
              </a:prstClr>
            </a:outerShdw>
          </a:effectLst>
        </c:spPr>
      </c:pivotFmt>
      <c:pivotFmt>
        <c:idx val="4"/>
        <c:spPr>
          <a:solidFill>
            <a:srgbClr val="F82C70"/>
          </a:solidFill>
          <a:ln>
            <a:noFill/>
          </a:ln>
          <a:effectLst>
            <a:outerShdw blurRad="317500" algn="ctr" rotWithShape="0">
              <a:prstClr val="black">
                <a:alpha val="25000"/>
              </a:prstClr>
            </a:outerShdw>
          </a:effectLst>
        </c:spPr>
        <c:marker>
          <c:symbol val="none"/>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solidFill>
          <a:ln>
            <a:noFill/>
          </a:ln>
          <a:effectLst>
            <a:outerShdw blurRad="317500" algn="ctr" rotWithShape="0">
              <a:prstClr val="black">
                <a:alpha val="25000"/>
              </a:prstClr>
            </a:outerShdw>
          </a:effectLst>
        </c:spPr>
      </c:pivotFmt>
      <c:pivotFmt>
        <c:idx val="6"/>
        <c:spPr>
          <a:solidFill>
            <a:srgbClr val="F82C70"/>
          </a:solidFill>
          <a:ln>
            <a:noFill/>
          </a:ln>
          <a:effectLst>
            <a:outerShdw blurRad="317500" algn="ctr" rotWithShape="0">
              <a:prstClr val="black">
                <a:alpha val="25000"/>
              </a:prstClr>
            </a:outerShdw>
          </a:effectLst>
        </c:spPr>
      </c:pivotFmt>
    </c:pivotFmts>
    <c:plotArea>
      <c:layout>
        <c:manualLayout>
          <c:layoutTarget val="inner"/>
          <c:xMode val="edge"/>
          <c:yMode val="edge"/>
          <c:x val="0.23706367484979962"/>
          <c:y val="0.2133376028642664"/>
          <c:w val="0.62329035181675863"/>
          <c:h val="0.80488803736980985"/>
        </c:manualLayout>
      </c:layout>
      <c:doughnutChart>
        <c:varyColors val="1"/>
        <c:ser>
          <c:idx val="0"/>
          <c:order val="0"/>
          <c:tx>
            <c:strRef>
              <c:f>Analysis!$B$16</c:f>
              <c:strCache>
                <c:ptCount val="1"/>
                <c:pt idx="0">
                  <c:v>Total</c:v>
                </c:pt>
              </c:strCache>
            </c:strRef>
          </c:tx>
          <c:spPr>
            <a:solidFill>
              <a:srgbClr val="F82C70"/>
            </a:solidFill>
          </c:spPr>
          <c:dPt>
            <c:idx val="0"/>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FD3-49A6-9630-FD4308F08511}"/>
              </c:ext>
            </c:extLst>
          </c:dPt>
          <c:dPt>
            <c:idx val="1"/>
            <c:bubble3D val="0"/>
            <c:spPr>
              <a:solidFill>
                <a:srgbClr val="F82C7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FD3-49A6-9630-FD4308F08511}"/>
              </c:ext>
            </c:extLst>
          </c:dPt>
          <c:dLbls>
            <c:spPr>
              <a:noFill/>
              <a:ln>
                <a:solidFill>
                  <a:schemeClr val="bg1"/>
                </a:solidFill>
              </a:ln>
              <a:effectLst/>
            </c:spPr>
            <c:txPr>
              <a:bodyPr rot="0" spcFirstLastPara="1" vertOverflow="ellipsis" vert="horz" wrap="square" lIns="38100" tIns="19050" rIns="38100" bIns="19050" anchor="ctr" anchorCtr="1">
                <a:spAutoFit/>
              </a:bodyPr>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Analysis!$A$17:$A$18</c:f>
              <c:strCache>
                <c:ptCount val="2"/>
                <c:pt idx="0">
                  <c:v> Productive Time</c:v>
                </c:pt>
                <c:pt idx="1">
                  <c:v> Entertainment Time</c:v>
                </c:pt>
              </c:strCache>
            </c:strRef>
          </c:cat>
          <c:val>
            <c:numRef>
              <c:f>Analysis!$B$17:$B$18</c:f>
              <c:numCache>
                <c:formatCode>[h]:mm</c:formatCode>
                <c:ptCount val="2"/>
                <c:pt idx="0">
                  <c:v>0.7270833333333333</c:v>
                </c:pt>
                <c:pt idx="1">
                  <c:v>0.38125000000000003</c:v>
                </c:pt>
              </c:numCache>
            </c:numRef>
          </c:val>
          <c:extLst>
            <c:ext xmlns:c16="http://schemas.microsoft.com/office/drawing/2014/chart" uri="{C3380CC4-5D6E-409C-BE32-E72D297353CC}">
              <c16:uniqueId val="{00000004-FFD3-49A6-9630-FD4308F08511}"/>
            </c:ext>
          </c:extLst>
        </c:ser>
        <c:dLbls>
          <c:showLegendKey val="0"/>
          <c:showVal val="1"/>
          <c:showCatName val="0"/>
          <c:showSerName val="0"/>
          <c:showPercent val="0"/>
          <c:showBubbleSize val="0"/>
          <c:showLeaderLines val="0"/>
        </c:dLbls>
        <c:firstSliceAng val="0"/>
        <c:holeSize val="70"/>
      </c:doughnutChart>
      <c:spPr>
        <a:noFill/>
        <a:ln w="3175" cmpd="sng">
          <a:noFill/>
        </a:ln>
        <a:effectLst>
          <a:outerShdw blurRad="508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Tracker Data Final.xlsx]Analysis!PivotTable10</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956489203859974"/>
          <c:y val="5.1483207515989581E-2"/>
          <c:w val="0.7195099513549662"/>
          <c:h val="0.89278038649504843"/>
        </c:manualLayout>
      </c:layout>
      <c:barChart>
        <c:barDir val="bar"/>
        <c:grouping val="stacked"/>
        <c:varyColors val="0"/>
        <c:ser>
          <c:idx val="0"/>
          <c:order val="0"/>
          <c:tx>
            <c:strRef>
              <c:f>Analysis!$B$4</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Analysis!$A$5:$A$12</c:f>
              <c:strCache>
                <c:ptCount val="7"/>
                <c:pt idx="0">
                  <c:v>Monday</c:v>
                </c:pt>
                <c:pt idx="1">
                  <c:v>Tuesday</c:v>
                </c:pt>
                <c:pt idx="2">
                  <c:v>Wednesday</c:v>
                </c:pt>
                <c:pt idx="3">
                  <c:v>Thursday</c:v>
                </c:pt>
                <c:pt idx="4">
                  <c:v>Friday</c:v>
                </c:pt>
                <c:pt idx="5">
                  <c:v>Saturday</c:v>
                </c:pt>
                <c:pt idx="6">
                  <c:v>Sunday</c:v>
                </c:pt>
              </c:strCache>
            </c:strRef>
          </c:cat>
          <c:val>
            <c:numRef>
              <c:f>Analysis!$B$5:$B$12</c:f>
              <c:numCache>
                <c:formatCode>[h]:mm</c:formatCode>
                <c:ptCount val="7"/>
                <c:pt idx="0">
                  <c:v>0.2638888888888889</c:v>
                </c:pt>
                <c:pt idx="1">
                  <c:v>0.43194444444444446</c:v>
                </c:pt>
                <c:pt idx="2">
                  <c:v>0.22916666666666666</c:v>
                </c:pt>
                <c:pt idx="3">
                  <c:v>0.29375000000000001</c:v>
                </c:pt>
                <c:pt idx="4">
                  <c:v>0.35069444444444442</c:v>
                </c:pt>
                <c:pt idx="5">
                  <c:v>0.33958333333333335</c:v>
                </c:pt>
                <c:pt idx="6">
                  <c:v>0.2673611111111111</c:v>
                </c:pt>
              </c:numCache>
            </c:numRef>
          </c:val>
          <c:extLst>
            <c:ext xmlns:c16="http://schemas.microsoft.com/office/drawing/2014/chart" uri="{C3380CC4-5D6E-409C-BE32-E72D297353CC}">
              <c16:uniqueId val="{00000000-BE06-467B-82F3-260CE7581232}"/>
            </c:ext>
          </c:extLst>
        </c:ser>
        <c:dLbls>
          <c:showLegendKey val="0"/>
          <c:showVal val="0"/>
          <c:showCatName val="0"/>
          <c:showSerName val="0"/>
          <c:showPercent val="0"/>
          <c:showBubbleSize val="0"/>
        </c:dLbls>
        <c:gapWidth val="100"/>
        <c:overlap val="70"/>
        <c:axId val="1260414367"/>
        <c:axId val="1260420127"/>
      </c:barChart>
      <c:catAx>
        <c:axId val="126041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all" spc="120" normalizeH="0" baseline="0">
                <a:solidFill>
                  <a:schemeClr val="tx1"/>
                </a:solidFill>
                <a:latin typeface="Arial Black" panose="020B0A04020102020204" pitchFamily="34" charset="0"/>
                <a:ea typeface="+mn-ea"/>
                <a:cs typeface="Calibri" panose="020F0502020204030204" pitchFamily="34" charset="0"/>
              </a:defRPr>
            </a:pPr>
            <a:endParaRPr lang="en-US"/>
          </a:p>
        </c:txPr>
        <c:crossAx val="1260420127"/>
        <c:crosses val="autoZero"/>
        <c:auto val="1"/>
        <c:lblAlgn val="ctr"/>
        <c:lblOffset val="100"/>
        <c:noMultiLvlLbl val="0"/>
      </c:catAx>
      <c:valAx>
        <c:axId val="1260420127"/>
        <c:scaling>
          <c:orientation val="minMax"/>
        </c:scaling>
        <c:delete val="1"/>
        <c:axPos val="b"/>
        <c:numFmt formatCode="[h]:mm" sourceLinked="1"/>
        <c:majorTickMark val="none"/>
        <c:minorTickMark val="none"/>
        <c:tickLblPos val="nextTo"/>
        <c:crossAx val="12604143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Tracker Data Final.xlsx]Analysis!PivotTable12</c:name>
    <c:fmtId val="18"/>
  </c:pivotSource>
  <c:chart>
    <c:title>
      <c:tx>
        <c:rich>
          <a:bodyPr rot="0" spcFirstLastPara="1" vertOverflow="ellipsis" vert="horz" wrap="square" anchor="ctr" anchorCtr="1"/>
          <a:lstStyle/>
          <a:p>
            <a:pPr>
              <a:defRPr sz="18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IN" sz="4000" b="1" u="sng">
                <a:solidFill>
                  <a:schemeClr val="tx1"/>
                </a:solidFill>
                <a:latin typeface="Calibri" panose="020F0502020204030204" pitchFamily="34" charset="0"/>
                <a:cs typeface="Calibri" panose="020F0502020204030204" pitchFamily="34" charset="0"/>
              </a:rPr>
              <a:t>Productive vs Entertainment Analysis</a:t>
            </a:r>
          </a:p>
        </c:rich>
      </c:tx>
      <c:layout>
        <c:manualLayout>
          <c:xMode val="edge"/>
          <c:yMode val="edge"/>
          <c:x val="0.21821200734073232"/>
          <c:y val="5.066380011642547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4450" cap="rnd">
            <a:solidFill>
              <a:srgbClr val="F82C70"/>
            </a:solidFill>
            <a:round/>
            <a:headEnd type="triangle" w="lg" len="lg"/>
            <a:tailEnd type="arrow" w="lg" len="lg"/>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16599047856963E-2"/>
          <c:y val="0.30491757438328121"/>
          <c:w val="0.88422853080102115"/>
          <c:h val="0.66823481888353409"/>
        </c:manualLayout>
      </c:layout>
      <c:barChart>
        <c:barDir val="col"/>
        <c:grouping val="clustered"/>
        <c:varyColors val="0"/>
        <c:ser>
          <c:idx val="0"/>
          <c:order val="0"/>
          <c:tx>
            <c:strRef>
              <c:f>Analysis!$E$4</c:f>
              <c:strCache>
                <c:ptCount val="1"/>
                <c:pt idx="0">
                  <c:v> Productive Time</c:v>
                </c:pt>
              </c:strCache>
            </c:strRef>
          </c:tx>
          <c:spPr>
            <a:solidFill>
              <a:srgbClr val="002060"/>
            </a:solidFill>
            <a:ln>
              <a:noFill/>
            </a:ln>
            <a:effectLst/>
          </c:spPr>
          <c:invertIfNegative val="0"/>
          <c:cat>
            <c:strRef>
              <c:f>Analysis!$D$5:$D$12</c:f>
              <c:strCache>
                <c:ptCount val="7"/>
                <c:pt idx="0">
                  <c:v>Monday</c:v>
                </c:pt>
                <c:pt idx="1">
                  <c:v>Tuesday</c:v>
                </c:pt>
                <c:pt idx="2">
                  <c:v>Wednesday</c:v>
                </c:pt>
                <c:pt idx="3">
                  <c:v>Thursday</c:v>
                </c:pt>
                <c:pt idx="4">
                  <c:v>Friday</c:v>
                </c:pt>
                <c:pt idx="5">
                  <c:v>Saturday</c:v>
                </c:pt>
                <c:pt idx="6">
                  <c:v>Sunday</c:v>
                </c:pt>
              </c:strCache>
            </c:strRef>
          </c:cat>
          <c:val>
            <c:numRef>
              <c:f>Analysis!$E$5:$E$12</c:f>
              <c:numCache>
                <c:formatCode>[h]:mm</c:formatCode>
                <c:ptCount val="7"/>
                <c:pt idx="0">
                  <c:v>6.9444444444444448E-2</c:v>
                </c:pt>
                <c:pt idx="1">
                  <c:v>0.1875</c:v>
                </c:pt>
                <c:pt idx="2">
                  <c:v>0.10069444444444445</c:v>
                </c:pt>
                <c:pt idx="3">
                  <c:v>0.1388888888888889</c:v>
                </c:pt>
                <c:pt idx="4">
                  <c:v>9.7222222222222224E-2</c:v>
                </c:pt>
                <c:pt idx="5">
                  <c:v>4.6527777777777779E-2</c:v>
                </c:pt>
                <c:pt idx="6">
                  <c:v>8.6805555555555552E-2</c:v>
                </c:pt>
              </c:numCache>
            </c:numRef>
          </c:val>
          <c:extLst>
            <c:ext xmlns:c16="http://schemas.microsoft.com/office/drawing/2014/chart" uri="{C3380CC4-5D6E-409C-BE32-E72D297353CC}">
              <c16:uniqueId val="{00000000-08D0-4BF3-A2F9-95F87D61000E}"/>
            </c:ext>
          </c:extLst>
        </c:ser>
        <c:dLbls>
          <c:showLegendKey val="0"/>
          <c:showVal val="0"/>
          <c:showCatName val="0"/>
          <c:showSerName val="0"/>
          <c:showPercent val="0"/>
          <c:showBubbleSize val="0"/>
        </c:dLbls>
        <c:gapWidth val="80"/>
        <c:overlap val="-27"/>
        <c:axId val="1316599839"/>
        <c:axId val="1316611359"/>
      </c:barChart>
      <c:lineChart>
        <c:grouping val="standard"/>
        <c:varyColors val="0"/>
        <c:ser>
          <c:idx val="1"/>
          <c:order val="1"/>
          <c:tx>
            <c:strRef>
              <c:f>Analysis!$F$4</c:f>
              <c:strCache>
                <c:ptCount val="1"/>
                <c:pt idx="0">
                  <c:v> Entertainment Time</c:v>
                </c:pt>
              </c:strCache>
            </c:strRef>
          </c:tx>
          <c:spPr>
            <a:ln w="44450" cap="rnd">
              <a:solidFill>
                <a:srgbClr val="F82C70"/>
              </a:solidFill>
              <a:round/>
              <a:headEnd type="triangle" w="lg" len="lg"/>
              <a:tailEnd type="arrow" w="lg" len="lg"/>
            </a:ln>
            <a:effectLst/>
          </c:spPr>
          <c:marker>
            <c:symbol val="none"/>
          </c:marker>
          <c:cat>
            <c:strRef>
              <c:f>Analysis!$D$5:$D$12</c:f>
              <c:strCache>
                <c:ptCount val="7"/>
                <c:pt idx="0">
                  <c:v>Monday</c:v>
                </c:pt>
                <c:pt idx="1">
                  <c:v>Tuesday</c:v>
                </c:pt>
                <c:pt idx="2">
                  <c:v>Wednesday</c:v>
                </c:pt>
                <c:pt idx="3">
                  <c:v>Thursday</c:v>
                </c:pt>
                <c:pt idx="4">
                  <c:v>Friday</c:v>
                </c:pt>
                <c:pt idx="5">
                  <c:v>Saturday</c:v>
                </c:pt>
                <c:pt idx="6">
                  <c:v>Sunday</c:v>
                </c:pt>
              </c:strCache>
            </c:strRef>
          </c:cat>
          <c:val>
            <c:numRef>
              <c:f>Analysis!$F$5:$F$12</c:f>
              <c:numCache>
                <c:formatCode>[h]:mm</c:formatCode>
                <c:ptCount val="7"/>
                <c:pt idx="0">
                  <c:v>7.4305555555555555E-2</c:v>
                </c:pt>
                <c:pt idx="1">
                  <c:v>0</c:v>
                </c:pt>
                <c:pt idx="2">
                  <c:v>0</c:v>
                </c:pt>
                <c:pt idx="3">
                  <c:v>4.8611111111111112E-2</c:v>
                </c:pt>
                <c:pt idx="4">
                  <c:v>7.6388888888888895E-2</c:v>
                </c:pt>
                <c:pt idx="5">
                  <c:v>0.1388888888888889</c:v>
                </c:pt>
                <c:pt idx="6">
                  <c:v>4.3055555555555555E-2</c:v>
                </c:pt>
              </c:numCache>
            </c:numRef>
          </c:val>
          <c:smooth val="1"/>
          <c:extLst>
            <c:ext xmlns:c16="http://schemas.microsoft.com/office/drawing/2014/chart" uri="{C3380CC4-5D6E-409C-BE32-E72D297353CC}">
              <c16:uniqueId val="{00000001-08D0-4BF3-A2F9-95F87D61000E}"/>
            </c:ext>
          </c:extLst>
        </c:ser>
        <c:dLbls>
          <c:showLegendKey val="0"/>
          <c:showVal val="0"/>
          <c:showCatName val="0"/>
          <c:showSerName val="0"/>
          <c:showPercent val="0"/>
          <c:showBubbleSize val="0"/>
        </c:dLbls>
        <c:marker val="1"/>
        <c:smooth val="0"/>
        <c:axId val="1316599839"/>
        <c:axId val="1316611359"/>
      </c:lineChart>
      <c:catAx>
        <c:axId val="131659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316611359"/>
        <c:crosses val="autoZero"/>
        <c:auto val="1"/>
        <c:lblAlgn val="ctr"/>
        <c:lblOffset val="100"/>
        <c:noMultiLvlLbl val="0"/>
      </c:catAx>
      <c:valAx>
        <c:axId val="1316611359"/>
        <c:scaling>
          <c:orientation val="minMax"/>
        </c:scaling>
        <c:delete val="0"/>
        <c:axPos val="l"/>
        <c:numFmt formatCode="[h]:mm"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31659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rgbClr val="FFCCCC"/>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Tracker Data Final.xlsx]Analysis.2!PivotTable3</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CC0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85608512080079"/>
          <c:y val="0.14443660529370264"/>
          <c:w val="0.32044077524553644"/>
          <c:h val="0.74527139898495642"/>
        </c:manualLayout>
      </c:layout>
      <c:radarChart>
        <c:radarStyle val="marker"/>
        <c:varyColors val="0"/>
        <c:ser>
          <c:idx val="0"/>
          <c:order val="0"/>
          <c:tx>
            <c:strRef>
              <c:f>Analysis.2!$C$15</c:f>
              <c:strCache>
                <c:ptCount val="1"/>
                <c:pt idx="0">
                  <c:v>Sum of Total Screen Time</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cat>
            <c:strRef>
              <c:f>Analysis.2!$B$16:$B$23</c:f>
              <c:strCache>
                <c:ptCount val="7"/>
                <c:pt idx="0">
                  <c:v>Monday</c:v>
                </c:pt>
                <c:pt idx="1">
                  <c:v>Tuesday</c:v>
                </c:pt>
                <c:pt idx="2">
                  <c:v>Wednesday</c:v>
                </c:pt>
                <c:pt idx="3">
                  <c:v>Thursday</c:v>
                </c:pt>
                <c:pt idx="4">
                  <c:v>Friday</c:v>
                </c:pt>
                <c:pt idx="5">
                  <c:v>Saturday</c:v>
                </c:pt>
                <c:pt idx="6">
                  <c:v>Sunday</c:v>
                </c:pt>
              </c:strCache>
            </c:strRef>
          </c:cat>
          <c:val>
            <c:numRef>
              <c:f>Analysis.2!$C$16:$C$23</c:f>
              <c:numCache>
                <c:formatCode>[h]:mm</c:formatCode>
                <c:ptCount val="7"/>
                <c:pt idx="0">
                  <c:v>0.2638888888888889</c:v>
                </c:pt>
                <c:pt idx="1">
                  <c:v>0.43194444444444446</c:v>
                </c:pt>
                <c:pt idx="2">
                  <c:v>0.22916666666666666</c:v>
                </c:pt>
                <c:pt idx="3">
                  <c:v>0.29375000000000001</c:v>
                </c:pt>
                <c:pt idx="4">
                  <c:v>0.35069444444444442</c:v>
                </c:pt>
                <c:pt idx="5">
                  <c:v>0.33958333333333335</c:v>
                </c:pt>
                <c:pt idx="6">
                  <c:v>0.2673611111111111</c:v>
                </c:pt>
              </c:numCache>
            </c:numRef>
          </c:val>
          <c:extLst>
            <c:ext xmlns:c16="http://schemas.microsoft.com/office/drawing/2014/chart" uri="{C3380CC4-5D6E-409C-BE32-E72D297353CC}">
              <c16:uniqueId val="{00000000-59EF-47CC-9745-5D5EBC3248A9}"/>
            </c:ext>
          </c:extLst>
        </c:ser>
        <c:ser>
          <c:idx val="1"/>
          <c:order val="1"/>
          <c:tx>
            <c:strRef>
              <c:f>Analysis.2!$D$15</c:f>
              <c:strCache>
                <c:ptCount val="1"/>
                <c:pt idx="0">
                  <c:v>Productive Time.</c:v>
                </c:pt>
              </c:strCache>
            </c:strRef>
          </c:tx>
          <c:spPr>
            <a:ln w="28575" cap="rnd">
              <a:solidFill>
                <a:srgbClr val="CC0000"/>
              </a:solidFill>
              <a:round/>
            </a:ln>
            <a:effectLst/>
          </c:spPr>
          <c:marker>
            <c:symbol val="circle"/>
            <c:size val="5"/>
            <c:spPr>
              <a:solidFill>
                <a:schemeClr val="accent2"/>
              </a:solidFill>
              <a:ln w="9525">
                <a:solidFill>
                  <a:schemeClr val="accent2"/>
                </a:solidFill>
              </a:ln>
              <a:effectLst/>
            </c:spPr>
          </c:marker>
          <c:cat>
            <c:strRef>
              <c:f>Analysis.2!$B$16:$B$23</c:f>
              <c:strCache>
                <c:ptCount val="7"/>
                <c:pt idx="0">
                  <c:v>Monday</c:v>
                </c:pt>
                <c:pt idx="1">
                  <c:v>Tuesday</c:v>
                </c:pt>
                <c:pt idx="2">
                  <c:v>Wednesday</c:v>
                </c:pt>
                <c:pt idx="3">
                  <c:v>Thursday</c:v>
                </c:pt>
                <c:pt idx="4">
                  <c:v>Friday</c:v>
                </c:pt>
                <c:pt idx="5">
                  <c:v>Saturday</c:v>
                </c:pt>
                <c:pt idx="6">
                  <c:v>Sunday</c:v>
                </c:pt>
              </c:strCache>
            </c:strRef>
          </c:cat>
          <c:val>
            <c:numRef>
              <c:f>Analysis.2!$D$16:$D$23</c:f>
              <c:numCache>
                <c:formatCode>[$-14009]h:mm;@</c:formatCode>
                <c:ptCount val="7"/>
                <c:pt idx="0">
                  <c:v>6.9444444444444448E-2</c:v>
                </c:pt>
                <c:pt idx="1">
                  <c:v>0.1875</c:v>
                </c:pt>
                <c:pt idx="2">
                  <c:v>0.10069444444444445</c:v>
                </c:pt>
                <c:pt idx="3">
                  <c:v>0.1388888888888889</c:v>
                </c:pt>
                <c:pt idx="4">
                  <c:v>9.7222222222222224E-2</c:v>
                </c:pt>
                <c:pt idx="5">
                  <c:v>4.6527777777777779E-2</c:v>
                </c:pt>
                <c:pt idx="6">
                  <c:v>8.6805555555555552E-2</c:v>
                </c:pt>
              </c:numCache>
            </c:numRef>
          </c:val>
          <c:extLst>
            <c:ext xmlns:c16="http://schemas.microsoft.com/office/drawing/2014/chart" uri="{C3380CC4-5D6E-409C-BE32-E72D297353CC}">
              <c16:uniqueId val="{00000001-59EF-47CC-9745-5D5EBC3248A9}"/>
            </c:ext>
          </c:extLst>
        </c:ser>
        <c:ser>
          <c:idx val="2"/>
          <c:order val="2"/>
          <c:tx>
            <c:strRef>
              <c:f>Analysis.2!$E$15</c:f>
              <c:strCache>
                <c:ptCount val="1"/>
                <c:pt idx="0">
                  <c:v>Entertainment Time.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Analysis.2!$B$16:$B$23</c:f>
              <c:strCache>
                <c:ptCount val="7"/>
                <c:pt idx="0">
                  <c:v>Monday</c:v>
                </c:pt>
                <c:pt idx="1">
                  <c:v>Tuesday</c:v>
                </c:pt>
                <c:pt idx="2">
                  <c:v>Wednesday</c:v>
                </c:pt>
                <c:pt idx="3">
                  <c:v>Thursday</c:v>
                </c:pt>
                <c:pt idx="4">
                  <c:v>Friday</c:v>
                </c:pt>
                <c:pt idx="5">
                  <c:v>Saturday</c:v>
                </c:pt>
                <c:pt idx="6">
                  <c:v>Sunday</c:v>
                </c:pt>
              </c:strCache>
            </c:strRef>
          </c:cat>
          <c:val>
            <c:numRef>
              <c:f>Analysis.2!$E$16:$E$23</c:f>
              <c:numCache>
                <c:formatCode>h:mm</c:formatCode>
                <c:ptCount val="7"/>
                <c:pt idx="0">
                  <c:v>7.4305555555555555E-2</c:v>
                </c:pt>
                <c:pt idx="1">
                  <c:v>0</c:v>
                </c:pt>
                <c:pt idx="2">
                  <c:v>0</c:v>
                </c:pt>
                <c:pt idx="3">
                  <c:v>4.8611111111111112E-2</c:v>
                </c:pt>
                <c:pt idx="4">
                  <c:v>7.6388888888888895E-2</c:v>
                </c:pt>
                <c:pt idx="5">
                  <c:v>0.1388888888888889</c:v>
                </c:pt>
                <c:pt idx="6">
                  <c:v>4.3055555555555555E-2</c:v>
                </c:pt>
              </c:numCache>
            </c:numRef>
          </c:val>
          <c:extLst>
            <c:ext xmlns:c16="http://schemas.microsoft.com/office/drawing/2014/chart" uri="{C3380CC4-5D6E-409C-BE32-E72D297353CC}">
              <c16:uniqueId val="{00000002-59EF-47CC-9745-5D5EBC3248A9}"/>
            </c:ext>
          </c:extLst>
        </c:ser>
        <c:dLbls>
          <c:showLegendKey val="0"/>
          <c:showVal val="0"/>
          <c:showCatName val="0"/>
          <c:showSerName val="0"/>
          <c:showPercent val="0"/>
          <c:showBubbleSize val="0"/>
        </c:dLbls>
        <c:axId val="1316650239"/>
        <c:axId val="1316651199"/>
      </c:radarChart>
      <c:catAx>
        <c:axId val="131665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1316651199"/>
        <c:crosses val="autoZero"/>
        <c:auto val="1"/>
        <c:lblAlgn val="ctr"/>
        <c:lblOffset val="100"/>
        <c:noMultiLvlLbl val="0"/>
      </c:catAx>
      <c:valAx>
        <c:axId val="1316651199"/>
        <c:scaling>
          <c:orientation val="minMax"/>
        </c:scaling>
        <c:delete val="1"/>
        <c:axPos val="l"/>
        <c:numFmt formatCode="[h]:mm" sourceLinked="1"/>
        <c:majorTickMark val="none"/>
        <c:minorTickMark val="none"/>
        <c:tickLblPos val="nextTo"/>
        <c:crossAx val="131665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3200" b="1">
          <a:solidFill>
            <a:sysClr val="windowText" lastClr="000000"/>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IN" sz="4000" b="1" u="sng">
                <a:solidFill>
                  <a:schemeClr val="tx1"/>
                </a:solidFill>
                <a:latin typeface="Calibri" panose="020F0502020204030204" pitchFamily="34" charset="0"/>
                <a:cs typeface="Calibri" panose="020F0502020204030204" pitchFamily="34" charset="0"/>
              </a:rPr>
              <a:t>Notifications vs Pickups Correlation</a:t>
            </a: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hade val="15000"/>
                </a:schemeClr>
              </a:solidFill>
              <a:round/>
            </a:ln>
            <a:effectLst>
              <a:outerShdw blurRad="50800" dist="50800" dir="5400000" algn="ctr" rotWithShape="0">
                <a:srgbClr val="002060"/>
              </a:outerShdw>
            </a:effectLst>
          </c:spPr>
          <c:marker>
            <c:symbol val="circle"/>
            <c:size val="5"/>
            <c:spPr>
              <a:solidFill>
                <a:srgbClr val="FFCCCC"/>
              </a:solidFill>
              <a:ln w="9525">
                <a:solidFill>
                  <a:schemeClr val="accent1"/>
                </a:solidFill>
              </a:ln>
              <a:effectLst>
                <a:outerShdw blurRad="50800" dist="50800" dir="5400000" algn="ctr" rotWithShape="0">
                  <a:srgbClr val="002060"/>
                </a:outerShdw>
              </a:effectLst>
            </c:spPr>
          </c:marker>
          <c:xVal>
            <c:numRef>
              <c:f>Analysis!$D$16:$D$22</c:f>
              <c:numCache>
                <c:formatCode>0</c:formatCode>
                <c:ptCount val="7"/>
                <c:pt idx="0">
                  <c:v>69</c:v>
                </c:pt>
                <c:pt idx="1">
                  <c:v>89</c:v>
                </c:pt>
                <c:pt idx="2">
                  <c:v>65</c:v>
                </c:pt>
                <c:pt idx="3">
                  <c:v>87</c:v>
                </c:pt>
                <c:pt idx="4">
                  <c:v>65</c:v>
                </c:pt>
                <c:pt idx="5">
                  <c:v>73</c:v>
                </c:pt>
                <c:pt idx="6">
                  <c:v>90</c:v>
                </c:pt>
              </c:numCache>
            </c:numRef>
          </c:xVal>
          <c:yVal>
            <c:numRef>
              <c:f>Analysis!$E$16:$E$22</c:f>
              <c:numCache>
                <c:formatCode>General</c:formatCode>
                <c:ptCount val="7"/>
                <c:pt idx="0">
                  <c:v>187</c:v>
                </c:pt>
                <c:pt idx="1">
                  <c:v>240</c:v>
                </c:pt>
                <c:pt idx="2">
                  <c:v>250</c:v>
                </c:pt>
                <c:pt idx="3">
                  <c:v>120</c:v>
                </c:pt>
                <c:pt idx="4">
                  <c:v>130</c:v>
                </c:pt>
                <c:pt idx="5">
                  <c:v>187</c:v>
                </c:pt>
                <c:pt idx="6">
                  <c:v>280</c:v>
                </c:pt>
              </c:numCache>
            </c:numRef>
          </c:yVal>
          <c:smooth val="0"/>
          <c:extLst>
            <c:ext xmlns:c16="http://schemas.microsoft.com/office/drawing/2014/chart" uri="{C3380CC4-5D6E-409C-BE32-E72D297353CC}">
              <c16:uniqueId val="{00000000-F081-4FC4-AB0F-DF19ED28FF83}"/>
            </c:ext>
          </c:extLst>
        </c:ser>
        <c:dLbls>
          <c:showLegendKey val="0"/>
          <c:showVal val="0"/>
          <c:showCatName val="0"/>
          <c:showSerName val="0"/>
          <c:showPercent val="0"/>
          <c:showBubbleSize val="0"/>
        </c:dLbls>
        <c:axId val="1547534463"/>
        <c:axId val="1547527263"/>
      </c:scatterChart>
      <c:valAx>
        <c:axId val="1547534463"/>
        <c:scaling>
          <c:orientation val="minMax"/>
        </c:scaling>
        <c:delete val="0"/>
        <c:axPos val="b"/>
        <c:numFmt formatCode="0" sourceLinked="1"/>
        <c:majorTickMark val="none"/>
        <c:minorTickMark val="none"/>
        <c:tickLblPos val="nextTo"/>
        <c:spPr>
          <a:noFill/>
          <a:ln w="12700" cap="flat" cmpd="sng" algn="ctr">
            <a:solidFill>
              <a:schemeClr val="accent1"/>
            </a:solidFill>
            <a:prstDash val="solid"/>
            <a:miter lim="800000"/>
          </a:ln>
          <a:effectLst/>
        </c:spPr>
        <c:txPr>
          <a:bodyPr rot="-60000000" spcFirstLastPara="1" vertOverflow="ellipsis" vert="horz" wrap="square" anchor="ctr" anchorCtr="1"/>
          <a:lstStyle/>
          <a:p>
            <a:pPr>
              <a:defRPr sz="36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547527263"/>
        <c:crosses val="autoZero"/>
        <c:crossBetween val="midCat"/>
      </c:valAx>
      <c:valAx>
        <c:axId val="1547527263"/>
        <c:scaling>
          <c:orientation val="minMax"/>
        </c:scaling>
        <c:delete val="0"/>
        <c:axPos val="l"/>
        <c:numFmt formatCode="General" sourceLinked="1"/>
        <c:majorTickMark val="none"/>
        <c:minorTickMark val="none"/>
        <c:tickLblPos val="nextTo"/>
        <c:spPr>
          <a:noFill/>
          <a:ln w="12700" cap="flat" cmpd="sng" algn="ctr">
            <a:solidFill>
              <a:schemeClr val="accent1"/>
            </a:solidFill>
            <a:prstDash val="solid"/>
            <a:miter lim="800000"/>
          </a:ln>
          <a:effectLst/>
        </c:spPr>
        <c:txPr>
          <a:bodyPr rot="-60000000" spcFirstLastPara="1" vertOverflow="ellipsis" vert="horz" wrap="square" anchor="ctr" anchorCtr="1"/>
          <a:lstStyle/>
          <a:p>
            <a:pPr>
              <a:defRPr sz="32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547534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C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Tracker Data Final.xlsx]Analysis!PivotTable4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FF6699">
                  <a:shade val="30000"/>
                  <a:satMod val="115000"/>
                </a:srgbClr>
              </a:gs>
              <a:gs pos="0">
                <a:srgbClr val="FF6699">
                  <a:shade val="67500"/>
                  <a:satMod val="115000"/>
                </a:srgbClr>
              </a:gs>
              <a:gs pos="79062">
                <a:srgbClr val="0E2362"/>
              </a:gs>
              <a:gs pos="77125">
                <a:srgbClr val="1C2664"/>
              </a:gs>
              <a:gs pos="49000">
                <a:srgbClr val="382B68"/>
              </a:gs>
              <a:gs pos="37000">
                <a:srgbClr val="70366F"/>
              </a:gs>
              <a:gs pos="35000">
                <a:srgbClr val="002060"/>
              </a:gs>
            </a:gsLst>
            <a:path path="circle">
              <a:fillToRect l="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FF6699">
                  <a:shade val="30000"/>
                  <a:satMod val="115000"/>
                </a:srgbClr>
              </a:gs>
              <a:gs pos="0">
                <a:srgbClr val="FF6699">
                  <a:shade val="67500"/>
                  <a:satMod val="115000"/>
                </a:srgbClr>
              </a:gs>
              <a:gs pos="79062">
                <a:srgbClr val="0E2362"/>
              </a:gs>
              <a:gs pos="77125">
                <a:srgbClr val="1C2664"/>
              </a:gs>
              <a:gs pos="49000">
                <a:srgbClr val="382B68"/>
              </a:gs>
              <a:gs pos="37000">
                <a:srgbClr val="70366F"/>
              </a:gs>
              <a:gs pos="35000">
                <a:srgbClr val="002060"/>
              </a:gs>
            </a:gsLst>
            <a:path path="circle">
              <a:fillToRect l="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2532037757816"/>
          <c:y val="3.3827504206419383E-2"/>
          <c:w val="0.78911579316172831"/>
          <c:h val="0.72159617014680011"/>
        </c:manualLayout>
      </c:layout>
      <c:areaChart>
        <c:grouping val="stacked"/>
        <c:varyColors val="0"/>
        <c:ser>
          <c:idx val="0"/>
          <c:order val="0"/>
          <c:tx>
            <c:strRef>
              <c:f>Analysis!$I$16</c:f>
              <c:strCache>
                <c:ptCount val="1"/>
                <c:pt idx="0">
                  <c:v>Sum of Total Screen Time</c:v>
                </c:pt>
              </c:strCache>
            </c:strRef>
          </c:tx>
          <c:spPr>
            <a:solidFill>
              <a:schemeClr val="accent1"/>
            </a:solidFill>
            <a:ln>
              <a:noFill/>
            </a:ln>
            <a:effectLst/>
          </c:spPr>
          <c:cat>
            <c:strRef>
              <c:f>Analysis!$H$17:$H$24</c:f>
              <c:strCache>
                <c:ptCount val="7"/>
                <c:pt idx="0">
                  <c:v>Monday</c:v>
                </c:pt>
                <c:pt idx="1">
                  <c:v>Tuesday</c:v>
                </c:pt>
                <c:pt idx="2">
                  <c:v>Wednesday</c:v>
                </c:pt>
                <c:pt idx="3">
                  <c:v>Thursday</c:v>
                </c:pt>
                <c:pt idx="4">
                  <c:v>Friday</c:v>
                </c:pt>
                <c:pt idx="5">
                  <c:v>Saturday</c:v>
                </c:pt>
                <c:pt idx="6">
                  <c:v>Sunday</c:v>
                </c:pt>
              </c:strCache>
            </c:strRef>
          </c:cat>
          <c:val>
            <c:numRef>
              <c:f>Analysis!$I$17:$I$24</c:f>
              <c:numCache>
                <c:formatCode>[h]:mm</c:formatCode>
                <c:ptCount val="7"/>
                <c:pt idx="0">
                  <c:v>0.2638888888888889</c:v>
                </c:pt>
                <c:pt idx="1">
                  <c:v>0.43194444444444446</c:v>
                </c:pt>
                <c:pt idx="2">
                  <c:v>0.22916666666666666</c:v>
                </c:pt>
                <c:pt idx="3">
                  <c:v>0.29375000000000001</c:v>
                </c:pt>
                <c:pt idx="4">
                  <c:v>0.35069444444444442</c:v>
                </c:pt>
                <c:pt idx="5">
                  <c:v>0.33958333333333335</c:v>
                </c:pt>
                <c:pt idx="6">
                  <c:v>0.2673611111111111</c:v>
                </c:pt>
              </c:numCache>
            </c:numRef>
          </c:val>
          <c:extLst>
            <c:ext xmlns:c16="http://schemas.microsoft.com/office/drawing/2014/chart" uri="{C3380CC4-5D6E-409C-BE32-E72D297353CC}">
              <c16:uniqueId val="{00000000-3754-43AF-AC8D-596CF4B42C7B}"/>
            </c:ext>
          </c:extLst>
        </c:ser>
        <c:ser>
          <c:idx val="1"/>
          <c:order val="1"/>
          <c:tx>
            <c:strRef>
              <c:f>Analysis!$J$16</c:f>
              <c:strCache>
                <c:ptCount val="1"/>
                <c:pt idx="0">
                  <c:v>Sum of Notifications</c:v>
                </c:pt>
              </c:strCache>
            </c:strRef>
          </c:tx>
          <c:spPr>
            <a:gradFill>
              <a:gsLst>
                <a:gs pos="0">
                  <a:srgbClr val="FF6699">
                    <a:shade val="30000"/>
                    <a:satMod val="115000"/>
                  </a:srgbClr>
                </a:gs>
                <a:gs pos="0">
                  <a:srgbClr val="FF6699">
                    <a:shade val="67500"/>
                    <a:satMod val="115000"/>
                  </a:srgbClr>
                </a:gs>
                <a:gs pos="79062">
                  <a:srgbClr val="0E2362"/>
                </a:gs>
                <a:gs pos="77125">
                  <a:srgbClr val="1C2664"/>
                </a:gs>
                <a:gs pos="49000">
                  <a:srgbClr val="382B68"/>
                </a:gs>
                <a:gs pos="37000">
                  <a:srgbClr val="70366F"/>
                </a:gs>
                <a:gs pos="35000">
                  <a:srgbClr val="002060"/>
                </a:gs>
              </a:gsLst>
              <a:path path="circle">
                <a:fillToRect l="100000" b="100000"/>
              </a:path>
            </a:gradFill>
            <a:ln>
              <a:noFill/>
            </a:ln>
            <a:effectLst/>
          </c:spPr>
          <c:cat>
            <c:strRef>
              <c:f>Analysis!$H$17:$H$24</c:f>
              <c:strCache>
                <c:ptCount val="7"/>
                <c:pt idx="0">
                  <c:v>Monday</c:v>
                </c:pt>
                <c:pt idx="1">
                  <c:v>Tuesday</c:v>
                </c:pt>
                <c:pt idx="2">
                  <c:v>Wednesday</c:v>
                </c:pt>
                <c:pt idx="3">
                  <c:v>Thursday</c:v>
                </c:pt>
                <c:pt idx="4">
                  <c:v>Friday</c:v>
                </c:pt>
                <c:pt idx="5">
                  <c:v>Saturday</c:v>
                </c:pt>
                <c:pt idx="6">
                  <c:v>Sunday</c:v>
                </c:pt>
              </c:strCache>
            </c:strRef>
          </c:cat>
          <c:val>
            <c:numRef>
              <c:f>Analysis!$J$17:$J$24</c:f>
              <c:numCache>
                <c:formatCode>General</c:formatCode>
                <c:ptCount val="7"/>
                <c:pt idx="0">
                  <c:v>187</c:v>
                </c:pt>
                <c:pt idx="1">
                  <c:v>240</c:v>
                </c:pt>
                <c:pt idx="2">
                  <c:v>250</c:v>
                </c:pt>
                <c:pt idx="3">
                  <c:v>120</c:v>
                </c:pt>
                <c:pt idx="4">
                  <c:v>130</c:v>
                </c:pt>
                <c:pt idx="5">
                  <c:v>187</c:v>
                </c:pt>
                <c:pt idx="6">
                  <c:v>280</c:v>
                </c:pt>
              </c:numCache>
            </c:numRef>
          </c:val>
          <c:extLst>
            <c:ext xmlns:c16="http://schemas.microsoft.com/office/drawing/2014/chart" uri="{C3380CC4-5D6E-409C-BE32-E72D297353CC}">
              <c16:uniqueId val="{00000001-3754-43AF-AC8D-596CF4B42C7B}"/>
            </c:ext>
          </c:extLst>
        </c:ser>
        <c:dLbls>
          <c:showLegendKey val="0"/>
          <c:showVal val="0"/>
          <c:showCatName val="0"/>
          <c:showSerName val="0"/>
          <c:showPercent val="0"/>
          <c:showBubbleSize val="0"/>
        </c:dLbls>
        <c:axId val="1316568159"/>
        <c:axId val="1316568639"/>
      </c:areaChart>
      <c:catAx>
        <c:axId val="1316568159"/>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316568639"/>
        <c:crosses val="autoZero"/>
        <c:auto val="1"/>
        <c:lblAlgn val="ctr"/>
        <c:lblOffset val="100"/>
        <c:noMultiLvlLbl val="0"/>
      </c:catAx>
      <c:valAx>
        <c:axId val="1316568639"/>
        <c:scaling>
          <c:orientation val="minMax"/>
        </c:scaling>
        <c:delete val="0"/>
        <c:axPos val="l"/>
        <c:numFmt formatCode="dd/mm" sourceLinked="0"/>
        <c:majorTickMark val="out"/>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316568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CCC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Tracker Data Final.xlsx]Analysis.2!PivotTable1</c:name>
    <c:fmtId val="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rgbClr val="CC00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lumOff val="50000"/>
            </a:schemeClr>
          </a:solidFill>
          <a:ln w="25400">
            <a:solidFill>
              <a:schemeClr val="lt1"/>
            </a:solidFill>
          </a:ln>
          <a:effectLst/>
          <a:sp3d contourW="25400">
            <a:contourClr>
              <a:schemeClr val="lt1"/>
            </a:contourClr>
          </a:sp3d>
        </c:spPr>
        <c:dLbl>
          <c:idx val="0"/>
          <c:layout>
            <c:manualLayout>
              <c:x val="-6.4149480540915724E-2"/>
              <c:y val="8.4699453551912565E-2"/>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w="25400">
            <a:solidFill>
              <a:schemeClr val="lt1"/>
            </a:solidFill>
          </a:ln>
          <a:effectLst/>
          <a:sp3d contourW="25400">
            <a:contourClr>
              <a:schemeClr val="lt1"/>
            </a:contourClr>
          </a:sp3d>
        </c:spPr>
        <c:dLbl>
          <c:idx val="0"/>
          <c:layout>
            <c:manualLayout>
              <c:x val="-0.13246622832073646"/>
              <c:y val="-0.16407534099221205"/>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82C70"/>
          </a:solidFill>
          <a:ln w="25400">
            <a:solidFill>
              <a:schemeClr val="lt1"/>
            </a:solidFill>
          </a:ln>
          <a:effectLst/>
          <a:sp3d contourW="25400">
            <a:contourClr>
              <a:schemeClr val="lt1"/>
            </a:contourClr>
          </a:sp3d>
        </c:spPr>
        <c:dLbl>
          <c:idx val="0"/>
          <c:layout>
            <c:manualLayout>
              <c:x val="0.15965033771051851"/>
              <c:y val="-0.35649756895142204"/>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6DC7"/>
          </a:solidFill>
          <a:ln w="25400">
            <a:solidFill>
              <a:schemeClr val="lt1"/>
            </a:solidFill>
          </a:ln>
          <a:effectLst/>
          <a:sp3d contourW="25400">
            <a:contourClr>
              <a:schemeClr val="lt1"/>
            </a:contourClr>
          </a:sp3d>
        </c:spPr>
      </c:pivotFmt>
      <c:pivotFmt>
        <c:idx val="17"/>
        <c:spPr>
          <a:solidFill>
            <a:schemeClr val="accent5">
              <a:lumMod val="40000"/>
              <a:lumOff val="60000"/>
            </a:schemeClr>
          </a:solidFill>
          <a:ln w="25400">
            <a:solidFill>
              <a:schemeClr val="lt1"/>
            </a:solidFill>
          </a:ln>
          <a:effectLst/>
          <a:sp3d contourW="25400">
            <a:contourClr>
              <a:schemeClr val="lt1"/>
            </a:contourClr>
          </a:sp3d>
        </c:spPr>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Analysis.2!$L$8</c:f>
              <c:strCache>
                <c:ptCount val="1"/>
                <c:pt idx="0">
                  <c:v>Total</c:v>
                </c:pt>
              </c:strCache>
            </c:strRef>
          </c:tx>
          <c:spPr>
            <a:solidFill>
              <a:srgbClr val="CC0000"/>
            </a:solidFill>
          </c:spPr>
          <c:dPt>
            <c:idx val="0"/>
            <c:bubble3D val="0"/>
            <c:spPr>
              <a:solidFill>
                <a:schemeClr val="tx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35C-4501-A6E5-5CC0350F71AD}"/>
              </c:ext>
            </c:extLst>
          </c:dPt>
          <c:dPt>
            <c:idx val="1"/>
            <c:bubble3D val="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3-735C-4501-A6E5-5CC0350F71AD}"/>
              </c:ext>
            </c:extLst>
          </c:dPt>
          <c:dPt>
            <c:idx val="2"/>
            <c:bubble3D val="0"/>
            <c:spPr>
              <a:solidFill>
                <a:srgbClr val="F82C70"/>
              </a:solidFill>
              <a:ln w="25400">
                <a:solidFill>
                  <a:schemeClr val="lt1"/>
                </a:solidFill>
              </a:ln>
              <a:effectLst/>
              <a:sp3d contourW="25400">
                <a:contourClr>
                  <a:schemeClr val="lt1"/>
                </a:contourClr>
              </a:sp3d>
            </c:spPr>
            <c:extLst>
              <c:ext xmlns:c16="http://schemas.microsoft.com/office/drawing/2014/chart" uri="{C3380CC4-5D6E-409C-BE32-E72D297353CC}">
                <c16:uniqueId val="{00000005-735C-4501-A6E5-5CC0350F71AD}"/>
              </c:ext>
            </c:extLst>
          </c:dPt>
          <c:dPt>
            <c:idx val="3"/>
            <c:bubble3D val="0"/>
            <c:spPr>
              <a:solidFill>
                <a:srgbClr val="FF6DC7"/>
              </a:solidFill>
              <a:ln w="25400">
                <a:solidFill>
                  <a:schemeClr val="lt1"/>
                </a:solidFill>
              </a:ln>
              <a:effectLst/>
              <a:sp3d contourW="25400">
                <a:contourClr>
                  <a:schemeClr val="lt1"/>
                </a:contourClr>
              </a:sp3d>
            </c:spPr>
            <c:extLst>
              <c:ext xmlns:c16="http://schemas.microsoft.com/office/drawing/2014/chart" uri="{C3380CC4-5D6E-409C-BE32-E72D297353CC}">
                <c16:uniqueId val="{00000007-735C-4501-A6E5-5CC0350F71AD}"/>
              </c:ext>
            </c:extLst>
          </c:dPt>
          <c:dPt>
            <c:idx val="4"/>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735C-4501-A6E5-5CC0350F71AD}"/>
              </c:ext>
            </c:extLst>
          </c:dPt>
          <c:dLbls>
            <c:dLbl>
              <c:idx val="0"/>
              <c:layout>
                <c:manualLayout>
                  <c:x val="-6.4149480540915724E-2"/>
                  <c:y val="8.46994535519125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5C-4501-A6E5-5CC0350F71AD}"/>
                </c:ext>
              </c:extLst>
            </c:dLbl>
            <c:dLbl>
              <c:idx val="1"/>
              <c:layout>
                <c:manualLayout>
                  <c:x val="-0.13246622832073646"/>
                  <c:y val="-0.1640753409922120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5C-4501-A6E5-5CC0350F71AD}"/>
                </c:ext>
              </c:extLst>
            </c:dLbl>
            <c:dLbl>
              <c:idx val="2"/>
              <c:layout>
                <c:manualLayout>
                  <c:x val="0.15965033771051851"/>
                  <c:y val="-0.3564975689514220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5C-4501-A6E5-5CC0350F71AD}"/>
                </c:ext>
              </c:extLst>
            </c:dLbl>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Analysis.2!$K$9:$K$14</c:f>
              <c:strCache>
                <c:ptCount val="5"/>
                <c:pt idx="0">
                  <c:v>Google </c:v>
                </c:pt>
                <c:pt idx="1">
                  <c:v>Instagram</c:v>
                </c:pt>
                <c:pt idx="2">
                  <c:v>LinkedIn</c:v>
                </c:pt>
                <c:pt idx="3">
                  <c:v>Whatsapp</c:v>
                </c:pt>
                <c:pt idx="4">
                  <c:v>Youtube</c:v>
                </c:pt>
              </c:strCache>
            </c:strRef>
          </c:cat>
          <c:val>
            <c:numRef>
              <c:f>Analysis.2!$L$9:$L$14</c:f>
              <c:numCache>
                <c:formatCode>0.0%</c:formatCode>
                <c:ptCount val="5"/>
                <c:pt idx="0">
                  <c:v>6.25E-2</c:v>
                </c:pt>
                <c:pt idx="1">
                  <c:v>0.21319444444444446</c:v>
                </c:pt>
                <c:pt idx="2">
                  <c:v>0.2048611111111111</c:v>
                </c:pt>
                <c:pt idx="3">
                  <c:v>9.0277777777777776E-2</c:v>
                </c:pt>
                <c:pt idx="4">
                  <c:v>8.6805555555555552E-2</c:v>
                </c:pt>
              </c:numCache>
            </c:numRef>
          </c:val>
          <c:extLst>
            <c:ext xmlns:c16="http://schemas.microsoft.com/office/drawing/2014/chart" uri="{C3380CC4-5D6E-409C-BE32-E72D297353CC}">
              <c16:uniqueId val="{0000000A-735C-4501-A6E5-5CC0350F71AD}"/>
            </c:ext>
          </c:extLst>
        </c:ser>
        <c:dLbls>
          <c:dLblPos val="bestFit"/>
          <c:showLegendKey val="0"/>
          <c:showVal val="1"/>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4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2.xml"/><Relationship Id="rId18" Type="http://schemas.openxmlformats.org/officeDocument/2006/relationships/image" Target="../media/image13.svg"/><Relationship Id="rId3" Type="http://schemas.openxmlformats.org/officeDocument/2006/relationships/image" Target="../media/image2.png"/><Relationship Id="rId21" Type="http://schemas.openxmlformats.org/officeDocument/2006/relationships/chart" Target="../charts/chart7.xm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image" Target="../media/image12.png"/><Relationship Id="rId2" Type="http://schemas.openxmlformats.org/officeDocument/2006/relationships/chart" Target="../charts/chart1.xml"/><Relationship Id="rId16" Type="http://schemas.openxmlformats.org/officeDocument/2006/relationships/chart" Target="../charts/chart5.xml"/><Relationship Id="rId20" Type="http://schemas.openxmlformats.org/officeDocument/2006/relationships/image" Target="../media/image14.png"/><Relationship Id="rId1" Type="http://schemas.openxmlformats.org/officeDocument/2006/relationships/image" Target="../media/image1.jpe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chart" Target="../charts/chart4.xml"/><Relationship Id="rId10" Type="http://schemas.openxmlformats.org/officeDocument/2006/relationships/image" Target="../media/image9.svg"/><Relationship Id="rId19" Type="http://schemas.openxmlformats.org/officeDocument/2006/relationships/chart" Target="../charts/chart6.xml"/><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35</xdr:col>
      <xdr:colOff>95251</xdr:colOff>
      <xdr:row>10</xdr:row>
      <xdr:rowOff>124037</xdr:rowOff>
    </xdr:from>
    <xdr:to>
      <xdr:col>43</xdr:col>
      <xdr:colOff>572643</xdr:colOff>
      <xdr:row>16</xdr:row>
      <xdr:rowOff>105833</xdr:rowOff>
    </xdr:to>
    <xdr:sp macro="" textlink="">
      <xdr:nvSpPr>
        <xdr:cNvPr id="1034" name="Rectangle: Rounded Corners 1033">
          <a:extLst>
            <a:ext uri="{FF2B5EF4-FFF2-40B4-BE49-F238E27FC236}">
              <a16:creationId xmlns:a16="http://schemas.microsoft.com/office/drawing/2014/main" id="{8F4F35C0-D758-1396-5906-11F34FB62483}"/>
            </a:ext>
          </a:extLst>
        </xdr:cNvPr>
        <xdr:cNvSpPr/>
      </xdr:nvSpPr>
      <xdr:spPr>
        <a:xfrm>
          <a:off x="22023918" y="3299037"/>
          <a:ext cx="5388058" cy="1886796"/>
        </a:xfrm>
        <a:prstGeom prst="roundRect">
          <a:avLst/>
        </a:prstGeom>
        <a:blipFill>
          <a:blip xmlns:r="http://schemas.openxmlformats.org/officeDocument/2006/relationships" r:embed="rId1"/>
          <a:tile tx="0" ty="0" sx="100000" sy="100000" flip="none" algn="tl"/>
        </a:blipFill>
        <a:ln>
          <a:noFill/>
        </a:ln>
        <a:effectLst>
          <a:glow rad="101600">
            <a:srgbClr val="FF6699">
              <a:alpha val="60000"/>
            </a:srgb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sz="1200"/>
        </a:p>
      </xdr:txBody>
    </xdr:sp>
    <xdr:clientData/>
  </xdr:twoCellAnchor>
  <xdr:twoCellAnchor>
    <xdr:from>
      <xdr:col>42</xdr:col>
      <xdr:colOff>507232</xdr:colOff>
      <xdr:row>40</xdr:row>
      <xdr:rowOff>261937</xdr:rowOff>
    </xdr:from>
    <xdr:to>
      <xdr:col>54</xdr:col>
      <xdr:colOff>200717</xdr:colOff>
      <xdr:row>59</xdr:row>
      <xdr:rowOff>176358</xdr:rowOff>
    </xdr:to>
    <xdr:graphicFrame macro="">
      <xdr:nvGraphicFramePr>
        <xdr:cNvPr id="2" name="Chart 1">
          <a:extLst>
            <a:ext uri="{FF2B5EF4-FFF2-40B4-BE49-F238E27FC236}">
              <a16:creationId xmlns:a16="http://schemas.microsoft.com/office/drawing/2014/main" id="{147ED139-C9AC-41E3-9BCD-08A0FD995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114467</xdr:colOff>
      <xdr:row>10</xdr:row>
      <xdr:rowOff>166110</xdr:rowOff>
    </xdr:from>
    <xdr:to>
      <xdr:col>15</xdr:col>
      <xdr:colOff>21166</xdr:colOff>
      <xdr:row>16</xdr:row>
      <xdr:rowOff>75509</xdr:rowOff>
    </xdr:to>
    <xdr:sp macro="" textlink="">
      <xdr:nvSpPr>
        <xdr:cNvPr id="3" name="Rectangle: Rounded Corners 2">
          <a:extLst>
            <a:ext uri="{FF2B5EF4-FFF2-40B4-BE49-F238E27FC236}">
              <a16:creationId xmlns:a16="http://schemas.microsoft.com/office/drawing/2014/main" id="{5835AAD9-5C3C-813B-44A9-097ADE4A5829}"/>
            </a:ext>
          </a:extLst>
        </xdr:cNvPr>
        <xdr:cNvSpPr/>
      </xdr:nvSpPr>
      <xdr:spPr>
        <a:xfrm flipH="1" flipV="1">
          <a:off x="4411300" y="3341110"/>
          <a:ext cx="5261866" cy="1814399"/>
        </a:xfrm>
        <a:prstGeom prst="roundRect">
          <a:avLst/>
        </a:prstGeom>
        <a:blipFill>
          <a:blip xmlns:r="http://schemas.openxmlformats.org/officeDocument/2006/relationships" r:embed="rId1"/>
          <a:tile tx="0" ty="0" sx="100000" sy="100000" flip="none" algn="tl"/>
        </a:blipFill>
        <a:ln>
          <a:noFill/>
        </a:ln>
        <a:effectLst>
          <a:glow rad="139700">
            <a:srgbClr val="FF6699">
              <a:alpha val="40000"/>
            </a:srgbClr>
          </a:glow>
          <a:outerShdw blurRad="50800" dist="38100" dir="10800000" algn="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6</xdr:col>
      <xdr:colOff>143747</xdr:colOff>
      <xdr:row>10</xdr:row>
      <xdr:rowOff>308017</xdr:rowOff>
    </xdr:from>
    <xdr:to>
      <xdr:col>18</xdr:col>
      <xdr:colOff>423332</xdr:colOff>
      <xdr:row>13</xdr:row>
      <xdr:rowOff>130390</xdr:rowOff>
    </xdr:to>
    <xdr:sp macro="" textlink="">
      <xdr:nvSpPr>
        <xdr:cNvPr id="1025" name="Text Box 1">
          <a:extLst>
            <a:ext uri="{FF2B5EF4-FFF2-40B4-BE49-F238E27FC236}">
              <a16:creationId xmlns:a16="http://schemas.microsoft.com/office/drawing/2014/main" id="{8DAA3BD1-6CC2-C62F-449B-13EE11A274CB}"/>
            </a:ext>
          </a:extLst>
        </xdr:cNvPr>
        <xdr:cNvSpPr txBox="1">
          <a:spLocks noChangeArrowheads="1"/>
        </xdr:cNvSpPr>
      </xdr:nvSpPr>
      <xdr:spPr bwMode="auto">
        <a:xfrm>
          <a:off x="3826747" y="3483017"/>
          <a:ext cx="8090085" cy="774873"/>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3200" b="1" i="0" u="none" strike="noStrike" baseline="0">
              <a:solidFill>
                <a:srgbClr val="000000"/>
              </a:solidFill>
              <a:latin typeface="Calibri" panose="020F0502020204030204" pitchFamily="34" charset="0"/>
              <a:ea typeface="Cambria Math" panose="02040503050406030204" pitchFamily="18" charset="0"/>
              <a:cs typeface="Calibri" panose="020F0502020204030204" pitchFamily="34" charset="0"/>
            </a:rPr>
            <a:t>Total Screen Time</a:t>
          </a:r>
        </a:p>
      </xdr:txBody>
    </xdr:sp>
    <xdr:clientData/>
  </xdr:twoCellAnchor>
  <xdr:twoCellAnchor>
    <xdr:from>
      <xdr:col>15</xdr:col>
      <xdr:colOff>529167</xdr:colOff>
      <xdr:row>10</xdr:row>
      <xdr:rowOff>151109</xdr:rowOff>
    </xdr:from>
    <xdr:to>
      <xdr:col>24</xdr:col>
      <xdr:colOff>423334</xdr:colOff>
      <xdr:row>16</xdr:row>
      <xdr:rowOff>84666</xdr:rowOff>
    </xdr:to>
    <xdr:sp macro="" textlink="">
      <xdr:nvSpPr>
        <xdr:cNvPr id="8" name="Rectangle: Rounded Corners 7">
          <a:extLst>
            <a:ext uri="{FF2B5EF4-FFF2-40B4-BE49-F238E27FC236}">
              <a16:creationId xmlns:a16="http://schemas.microsoft.com/office/drawing/2014/main" id="{5C4D63EB-2150-427D-8C9E-3F40CD99736F}"/>
            </a:ext>
          </a:extLst>
        </xdr:cNvPr>
        <xdr:cNvSpPr/>
      </xdr:nvSpPr>
      <xdr:spPr>
        <a:xfrm>
          <a:off x="10181167" y="3326109"/>
          <a:ext cx="5418667" cy="1838557"/>
        </a:xfrm>
        <a:prstGeom prst="roundRect">
          <a:avLst/>
        </a:prstGeom>
        <a:blipFill>
          <a:blip xmlns:r="http://schemas.openxmlformats.org/officeDocument/2006/relationships" r:embed="rId1"/>
          <a:tile tx="0" ty="0" sx="100000" sy="100000" flip="none" algn="tl"/>
        </a:blipFill>
        <a:ln>
          <a:noFill/>
        </a:ln>
        <a:effectLst>
          <a:glow rad="101600">
            <a:srgbClr val="FF6699">
              <a:alpha val="60000"/>
            </a:srgbClr>
          </a:glow>
          <a:outerShdw blurRad="50800" dist="38100" dir="10800000" algn="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18</xdr:col>
      <xdr:colOff>67445</xdr:colOff>
      <xdr:row>10</xdr:row>
      <xdr:rowOff>233174</xdr:rowOff>
    </xdr:from>
    <xdr:to>
      <xdr:col>25</xdr:col>
      <xdr:colOff>413235</xdr:colOff>
      <xdr:row>16</xdr:row>
      <xdr:rowOff>235506</xdr:rowOff>
    </xdr:to>
    <xdr:sp macro="" textlink="">
      <xdr:nvSpPr>
        <xdr:cNvPr id="13" name="Text Box 1">
          <a:extLst>
            <a:ext uri="{FF2B5EF4-FFF2-40B4-BE49-F238E27FC236}">
              <a16:creationId xmlns:a16="http://schemas.microsoft.com/office/drawing/2014/main" id="{5A6C6F18-EE4F-49F6-82E8-3AA38D61D39E}"/>
            </a:ext>
          </a:extLst>
        </xdr:cNvPr>
        <xdr:cNvSpPr txBox="1">
          <a:spLocks noChangeArrowheads="1"/>
        </xdr:cNvSpPr>
      </xdr:nvSpPr>
      <xdr:spPr bwMode="auto">
        <a:xfrm>
          <a:off x="11560945" y="3408174"/>
          <a:ext cx="4642623" cy="1907332"/>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3200" b="1">
              <a:solidFill>
                <a:schemeClr val="dk1"/>
              </a:solidFill>
              <a:latin typeface="Calibri" panose="020F0502020204030204" pitchFamily="34" charset="0"/>
              <a:ea typeface="+mn-ea"/>
              <a:cs typeface="Calibri" panose="020F0502020204030204" pitchFamily="34" charset="0"/>
            </a:rPr>
            <a:t>Avg Daily Usage </a:t>
          </a:r>
        </a:p>
      </xdr:txBody>
    </xdr:sp>
    <xdr:clientData/>
  </xdr:twoCellAnchor>
  <xdr:twoCellAnchor>
    <xdr:from>
      <xdr:col>20</xdr:col>
      <xdr:colOff>333934</xdr:colOff>
      <xdr:row>12</xdr:row>
      <xdr:rowOff>243679</xdr:rowOff>
    </xdr:from>
    <xdr:to>
      <xdr:col>24</xdr:col>
      <xdr:colOff>65110</xdr:colOff>
      <xdr:row>19</xdr:row>
      <xdr:rowOff>144730</xdr:rowOff>
    </xdr:to>
    <xdr:sp macro="" textlink="Analysis!J7">
      <xdr:nvSpPr>
        <xdr:cNvPr id="15" name="TextBox 14">
          <a:extLst>
            <a:ext uri="{FF2B5EF4-FFF2-40B4-BE49-F238E27FC236}">
              <a16:creationId xmlns:a16="http://schemas.microsoft.com/office/drawing/2014/main" id="{6B0F673A-2D90-4893-B0AB-44B56F5F7076}"/>
            </a:ext>
          </a:extLst>
        </xdr:cNvPr>
        <xdr:cNvSpPr txBox="1"/>
      </xdr:nvSpPr>
      <xdr:spPr>
        <a:xfrm>
          <a:off x="13055101" y="4053679"/>
          <a:ext cx="2186509" cy="2123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14BF52-2408-4C72-9CDA-FC57CE1AC46A}" type="TxLink">
            <a:rPr lang="en-US" sz="4000" b="1" i="0" u="none" strike="noStrike">
              <a:solidFill>
                <a:srgbClr val="000000"/>
              </a:solidFill>
              <a:latin typeface="Calibri" panose="020F0502020204030204" pitchFamily="34" charset="0"/>
              <a:cs typeface="Calibri" panose="020F0502020204030204" pitchFamily="34" charset="0"/>
            </a:rPr>
            <a:pPr algn="ctr"/>
            <a:t>07:27</a:t>
          </a:fld>
          <a:endParaRPr lang="en-IN" sz="1800" b="1">
            <a:latin typeface="Calibri" panose="020F0502020204030204" pitchFamily="34" charset="0"/>
            <a:cs typeface="Calibri" panose="020F0502020204030204" pitchFamily="34" charset="0"/>
          </a:endParaRPr>
        </a:p>
      </xdr:txBody>
    </xdr:sp>
    <xdr:clientData/>
  </xdr:twoCellAnchor>
  <xdr:twoCellAnchor>
    <xdr:from>
      <xdr:col>25</xdr:col>
      <xdr:colOff>291461</xdr:colOff>
      <xdr:row>10</xdr:row>
      <xdr:rowOff>169334</xdr:rowOff>
    </xdr:from>
    <xdr:to>
      <xdr:col>34</xdr:col>
      <xdr:colOff>296333</xdr:colOff>
      <xdr:row>16</xdr:row>
      <xdr:rowOff>104402</xdr:rowOff>
    </xdr:to>
    <xdr:sp macro="" textlink="">
      <xdr:nvSpPr>
        <xdr:cNvPr id="16" name="Rectangle: Rounded Corners 15">
          <a:extLst>
            <a:ext uri="{FF2B5EF4-FFF2-40B4-BE49-F238E27FC236}">
              <a16:creationId xmlns:a16="http://schemas.microsoft.com/office/drawing/2014/main" id="{80E241D9-A0BB-4184-B2A0-7307587EBEC7}"/>
            </a:ext>
          </a:extLst>
        </xdr:cNvPr>
        <xdr:cNvSpPr/>
      </xdr:nvSpPr>
      <xdr:spPr>
        <a:xfrm>
          <a:off x="16081794" y="3344334"/>
          <a:ext cx="5529372" cy="1840068"/>
        </a:xfrm>
        <a:prstGeom prst="roundRect">
          <a:avLst/>
        </a:prstGeom>
        <a:blipFill>
          <a:blip xmlns:r="http://schemas.openxmlformats.org/officeDocument/2006/relationships" r:embed="rId1"/>
          <a:tile tx="0" ty="0" sx="100000" sy="100000" flip="none" algn="tl"/>
        </a:blipFill>
        <a:ln>
          <a:noFill/>
        </a:ln>
        <a:effectLst>
          <a:glow rad="101600">
            <a:srgbClr val="FF6699">
              <a:alpha val="60000"/>
            </a:srgb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24</xdr:col>
      <xdr:colOff>200055</xdr:colOff>
      <xdr:row>28</xdr:row>
      <xdr:rowOff>156272</xdr:rowOff>
    </xdr:from>
    <xdr:to>
      <xdr:col>27</xdr:col>
      <xdr:colOff>250161</xdr:colOff>
      <xdr:row>31</xdr:row>
      <xdr:rowOff>156273</xdr:rowOff>
    </xdr:to>
    <xdr:sp macro="" textlink="">
      <xdr:nvSpPr>
        <xdr:cNvPr id="19" name="Text Box 1">
          <a:extLst>
            <a:ext uri="{FF2B5EF4-FFF2-40B4-BE49-F238E27FC236}">
              <a16:creationId xmlns:a16="http://schemas.microsoft.com/office/drawing/2014/main" id="{6D6FCCA4-DC3B-4E59-AC0F-E5C4B5BDD805}"/>
            </a:ext>
          </a:extLst>
        </xdr:cNvPr>
        <xdr:cNvSpPr txBox="1">
          <a:spLocks noChangeArrowheads="1"/>
        </xdr:cNvSpPr>
      </xdr:nvSpPr>
      <xdr:spPr bwMode="auto">
        <a:xfrm>
          <a:off x="15410747" y="9183041"/>
          <a:ext cx="1896491" cy="967155"/>
        </a:xfrm>
        <a:prstGeom prst="rect">
          <a:avLst/>
        </a:prstGeom>
        <a:noFill/>
        <a:ln w="9525">
          <a:noFill/>
          <a:miter lim="800000"/>
          <a:headEnd/>
          <a:tailEnd/>
        </a:ln>
      </xdr:spPr>
      <xdr:txBody>
        <a:bodyPr vertOverflow="clip" wrap="square" lIns="36576" tIns="32004" rIns="0" bIns="0" anchor="t" upright="1"/>
        <a:lstStyle/>
        <a:p>
          <a:pPr algn="ctr" rtl="0">
            <a:defRPr sz="1000"/>
          </a:pPr>
          <a:endParaRPr lang="en-IN" sz="1800" b="1" i="0" u="none" strike="noStrike" baseline="0">
            <a:solidFill>
              <a:srgbClr val="000000"/>
            </a:solidFill>
            <a:latin typeface="Bookman Old Style" panose="02050604050505020204" pitchFamily="18" charset="0"/>
            <a:ea typeface="Cambria Math" panose="02040503050406030204" pitchFamily="18" charset="0"/>
          </a:endParaRPr>
        </a:p>
      </xdr:txBody>
    </xdr:sp>
    <xdr:clientData/>
  </xdr:twoCellAnchor>
  <xdr:twoCellAnchor>
    <xdr:from>
      <xdr:col>29</xdr:col>
      <xdr:colOff>511614</xdr:colOff>
      <xdr:row>12</xdr:row>
      <xdr:rowOff>276793</xdr:rowOff>
    </xdr:from>
    <xdr:to>
      <xdr:col>31</xdr:col>
      <xdr:colOff>602431</xdr:colOff>
      <xdr:row>18</xdr:row>
      <xdr:rowOff>263424</xdr:rowOff>
    </xdr:to>
    <xdr:sp macro="" textlink="Analysis!K7">
      <xdr:nvSpPr>
        <xdr:cNvPr id="22" name="TextBox 21">
          <a:extLst>
            <a:ext uri="{FF2B5EF4-FFF2-40B4-BE49-F238E27FC236}">
              <a16:creationId xmlns:a16="http://schemas.microsoft.com/office/drawing/2014/main" id="{E22E2EAB-09C8-4650-8582-C100D9CD00A0}"/>
            </a:ext>
          </a:extLst>
        </xdr:cNvPr>
        <xdr:cNvSpPr txBox="1"/>
      </xdr:nvSpPr>
      <xdr:spPr>
        <a:xfrm>
          <a:off x="18757281" y="4086793"/>
          <a:ext cx="1318483" cy="1891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latin typeface="Calibri" panose="020F0502020204030204" pitchFamily="34" charset="0"/>
              <a:cs typeface="Calibri" panose="020F0502020204030204" pitchFamily="34" charset="0"/>
            </a:rPr>
            <a:t>538</a:t>
          </a:r>
          <a:endParaRPr lang="en-IN" sz="1800" b="1">
            <a:latin typeface="Calibri" panose="020F0502020204030204" pitchFamily="34" charset="0"/>
            <a:cs typeface="Calibri" panose="020F0502020204030204" pitchFamily="34" charset="0"/>
          </a:endParaRPr>
        </a:p>
      </xdr:txBody>
    </xdr:sp>
    <xdr:clientData/>
  </xdr:twoCellAnchor>
  <xdr:twoCellAnchor>
    <xdr:from>
      <xdr:col>37</xdr:col>
      <xdr:colOff>42334</xdr:colOff>
      <xdr:row>11</xdr:row>
      <xdr:rowOff>88327</xdr:rowOff>
    </xdr:from>
    <xdr:to>
      <xdr:col>44</xdr:col>
      <xdr:colOff>22887</xdr:colOff>
      <xdr:row>14</xdr:row>
      <xdr:rowOff>88328</xdr:rowOff>
    </xdr:to>
    <xdr:sp macro="" textlink="">
      <xdr:nvSpPr>
        <xdr:cNvPr id="24" name="Text Box 1">
          <a:extLst>
            <a:ext uri="{FF2B5EF4-FFF2-40B4-BE49-F238E27FC236}">
              <a16:creationId xmlns:a16="http://schemas.microsoft.com/office/drawing/2014/main" id="{B4C5C0DC-F16D-4F12-AA58-7C326D3221A3}"/>
            </a:ext>
          </a:extLst>
        </xdr:cNvPr>
        <xdr:cNvSpPr txBox="1">
          <a:spLocks noChangeArrowheads="1"/>
        </xdr:cNvSpPr>
      </xdr:nvSpPr>
      <xdr:spPr bwMode="auto">
        <a:xfrm>
          <a:off x="23198667" y="3580827"/>
          <a:ext cx="4277387" cy="952501"/>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2800" b="1" i="0" u="none" strike="noStrike" baseline="0">
              <a:solidFill>
                <a:srgbClr val="000000"/>
              </a:solidFill>
              <a:latin typeface="Calibri" panose="020F0502020204030204" pitchFamily="34" charset="0"/>
              <a:ea typeface="Cambria Math" panose="02040503050406030204" pitchFamily="18" charset="0"/>
              <a:cs typeface="Calibri" panose="020F0502020204030204" pitchFamily="34" charset="0"/>
            </a:rPr>
            <a:t>Total Notifications</a:t>
          </a:r>
        </a:p>
      </xdr:txBody>
    </xdr:sp>
    <xdr:clientData/>
  </xdr:twoCellAnchor>
  <xdr:twoCellAnchor>
    <xdr:from>
      <xdr:col>38</xdr:col>
      <xdr:colOff>589472</xdr:colOff>
      <xdr:row>12</xdr:row>
      <xdr:rowOff>234867</xdr:rowOff>
    </xdr:from>
    <xdr:to>
      <xdr:col>42</xdr:col>
      <xdr:colOff>232833</xdr:colOff>
      <xdr:row>18</xdr:row>
      <xdr:rowOff>219627</xdr:rowOff>
    </xdr:to>
    <xdr:sp macro="" textlink="Analysis!L7">
      <xdr:nvSpPr>
        <xdr:cNvPr id="25" name="TextBox 24">
          <a:extLst>
            <a:ext uri="{FF2B5EF4-FFF2-40B4-BE49-F238E27FC236}">
              <a16:creationId xmlns:a16="http://schemas.microsoft.com/office/drawing/2014/main" id="{DADAA1A3-7FB5-4EA1-9956-E1E3AD87E158}"/>
            </a:ext>
          </a:extLst>
        </xdr:cNvPr>
        <xdr:cNvSpPr txBox="1"/>
      </xdr:nvSpPr>
      <xdr:spPr>
        <a:xfrm>
          <a:off x="24359639" y="4044867"/>
          <a:ext cx="2098694" cy="188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latin typeface="Calibri" panose="020F0502020204030204" pitchFamily="34" charset="0"/>
              <a:cs typeface="Calibri" panose="020F0502020204030204" pitchFamily="34" charset="0"/>
            </a:rPr>
            <a:t>1394</a:t>
          </a:r>
        </a:p>
      </xdr:txBody>
    </xdr:sp>
    <xdr:clientData/>
  </xdr:twoCellAnchor>
  <xdr:twoCellAnchor>
    <xdr:from>
      <xdr:col>37</xdr:col>
      <xdr:colOff>427135</xdr:colOff>
      <xdr:row>4</xdr:row>
      <xdr:rowOff>273372</xdr:rowOff>
    </xdr:from>
    <xdr:to>
      <xdr:col>45</xdr:col>
      <xdr:colOff>327560</xdr:colOff>
      <xdr:row>8</xdr:row>
      <xdr:rowOff>190913</xdr:rowOff>
    </xdr:to>
    <xdr:sp macro="" textlink="">
      <xdr:nvSpPr>
        <xdr:cNvPr id="28" name="Text Box 1">
          <a:extLst>
            <a:ext uri="{FF2B5EF4-FFF2-40B4-BE49-F238E27FC236}">
              <a16:creationId xmlns:a16="http://schemas.microsoft.com/office/drawing/2014/main" id="{CE28A6AB-EA9D-404A-8B96-E431C484E060}"/>
            </a:ext>
          </a:extLst>
        </xdr:cNvPr>
        <xdr:cNvSpPr txBox="1">
          <a:spLocks noChangeArrowheads="1"/>
        </xdr:cNvSpPr>
      </xdr:nvSpPr>
      <xdr:spPr bwMode="auto">
        <a:xfrm>
          <a:off x="23102408" y="1566463"/>
          <a:ext cx="4703334" cy="1210632"/>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2000" b="1" i="0" u="none" strike="noStrike" baseline="0">
              <a:solidFill>
                <a:srgbClr val="000000"/>
              </a:solidFill>
              <a:latin typeface="Bookman Old Style" panose="02050604050505020204" pitchFamily="18" charset="0"/>
              <a:ea typeface="Cambria Math" panose="02040503050406030204" pitchFamily="18" charset="0"/>
            </a:rPr>
            <a:t>Productivity Ratio</a:t>
          </a:r>
        </a:p>
      </xdr:txBody>
    </xdr:sp>
    <xdr:clientData/>
  </xdr:twoCellAnchor>
  <xdr:twoCellAnchor>
    <xdr:from>
      <xdr:col>10</xdr:col>
      <xdr:colOff>494056</xdr:colOff>
      <xdr:row>12</xdr:row>
      <xdr:rowOff>295537</xdr:rowOff>
    </xdr:from>
    <xdr:to>
      <xdr:col>14</xdr:col>
      <xdr:colOff>-1</xdr:colOff>
      <xdr:row>18</xdr:row>
      <xdr:rowOff>314934</xdr:rowOff>
    </xdr:to>
    <xdr:sp macro="" textlink="Analysis!I7">
      <xdr:nvSpPr>
        <xdr:cNvPr id="30" name="TextBox 29">
          <a:extLst>
            <a:ext uri="{FF2B5EF4-FFF2-40B4-BE49-F238E27FC236}">
              <a16:creationId xmlns:a16="http://schemas.microsoft.com/office/drawing/2014/main" id="{483D4CB3-9960-4204-B48C-D0394919DF63}"/>
            </a:ext>
          </a:extLst>
        </xdr:cNvPr>
        <xdr:cNvSpPr txBox="1"/>
      </xdr:nvSpPr>
      <xdr:spPr>
        <a:xfrm>
          <a:off x="7076889" y="4105537"/>
          <a:ext cx="1961277" cy="192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369800-4A9A-406D-92E4-8AF6163AE2B0}" type="TxLink">
            <a:rPr lang="en-US" sz="4000" b="1" i="0" u="none" strike="noStrike">
              <a:solidFill>
                <a:srgbClr val="000000"/>
              </a:solidFill>
              <a:latin typeface="Calibri" panose="020F0502020204030204" pitchFamily="34" charset="0"/>
              <a:ea typeface="+mn-ea"/>
              <a:cs typeface="Calibri" panose="020F0502020204030204" pitchFamily="34" charset="0"/>
            </a:rPr>
            <a:pPr algn="ctr"/>
            <a:t>52:14</a:t>
          </a:fld>
          <a:endParaRPr lang="en-IN" sz="1800" b="1">
            <a:latin typeface="Calibri" panose="020F0502020204030204" pitchFamily="34" charset="0"/>
            <a:cs typeface="Calibri" panose="020F0502020204030204" pitchFamily="34" charset="0"/>
          </a:endParaRPr>
        </a:p>
      </xdr:txBody>
    </xdr:sp>
    <xdr:clientData/>
  </xdr:twoCellAnchor>
  <xdr:twoCellAnchor>
    <xdr:from>
      <xdr:col>2</xdr:col>
      <xdr:colOff>480060</xdr:colOff>
      <xdr:row>9</xdr:row>
      <xdr:rowOff>121920</xdr:rowOff>
    </xdr:from>
    <xdr:to>
      <xdr:col>6</xdr:col>
      <xdr:colOff>441960</xdr:colOff>
      <xdr:row>15</xdr:row>
      <xdr:rowOff>144780</xdr:rowOff>
    </xdr:to>
    <xdr:sp macro="" textlink="Dashboard!$J$6">
      <xdr:nvSpPr>
        <xdr:cNvPr id="31" name="TextBox 30">
          <a:extLst>
            <a:ext uri="{FF2B5EF4-FFF2-40B4-BE49-F238E27FC236}">
              <a16:creationId xmlns:a16="http://schemas.microsoft.com/office/drawing/2014/main" id="{208ADFE6-0B47-44E9-83D5-516859104E17}"/>
            </a:ext>
          </a:extLst>
        </xdr:cNvPr>
        <xdr:cNvSpPr txBox="1"/>
      </xdr:nvSpPr>
      <xdr:spPr>
        <a:xfrm>
          <a:off x="1699260" y="3002280"/>
          <a:ext cx="2400300" cy="194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CB8219-4F6B-4D49-AC91-0D39004A1E17}" type="TxLink">
            <a:rPr lang="en-US" sz="1100" b="0" i="0" u="none" strike="noStrike">
              <a:solidFill>
                <a:srgbClr val="000000"/>
              </a:solidFill>
              <a:latin typeface="Aptos Narrow"/>
            </a:rPr>
            <a:pPr algn="ctr"/>
            <a:t> </a:t>
          </a:fld>
          <a:endParaRPr lang="en-IN" sz="600" b="0">
            <a:solidFill>
              <a:srgbClr val="FF0000"/>
            </a:solidFill>
            <a:latin typeface="Bookman Old Style" panose="02050604050505020204" pitchFamily="18" charset="0"/>
          </a:endParaRPr>
        </a:p>
      </xdr:txBody>
    </xdr:sp>
    <xdr:clientData/>
  </xdr:twoCellAnchor>
  <xdr:twoCellAnchor>
    <xdr:from>
      <xdr:col>0</xdr:col>
      <xdr:colOff>95250</xdr:colOff>
      <xdr:row>10</xdr:row>
      <xdr:rowOff>12609</xdr:rowOff>
    </xdr:from>
    <xdr:to>
      <xdr:col>6</xdr:col>
      <xdr:colOff>523875</xdr:colOff>
      <xdr:row>60</xdr:row>
      <xdr:rowOff>261938</xdr:rowOff>
    </xdr:to>
    <xdr:sp macro="" textlink="">
      <xdr:nvSpPr>
        <xdr:cNvPr id="32" name="Rectangle: Diagonal Corners Rounded 31">
          <a:extLst>
            <a:ext uri="{FF2B5EF4-FFF2-40B4-BE49-F238E27FC236}">
              <a16:creationId xmlns:a16="http://schemas.microsoft.com/office/drawing/2014/main" id="{F4CDE8CB-AA1D-58C3-0711-866F243272E9}"/>
            </a:ext>
          </a:extLst>
        </xdr:cNvPr>
        <xdr:cNvSpPr/>
      </xdr:nvSpPr>
      <xdr:spPr>
        <a:xfrm>
          <a:off x="95250" y="3108234"/>
          <a:ext cx="4143375" cy="15727454"/>
        </a:xfrm>
        <a:prstGeom prst="round2DiagRect">
          <a:avLst/>
        </a:prstGeom>
        <a:gradFill flip="none" rotWithShape="1">
          <a:gsLst>
            <a:gs pos="0">
              <a:srgbClr val="FF6699">
                <a:shade val="30000"/>
                <a:satMod val="115000"/>
              </a:srgbClr>
            </a:gs>
            <a:gs pos="50000">
              <a:srgbClr val="FF6699">
                <a:shade val="67500"/>
                <a:satMod val="115000"/>
              </a:srgbClr>
            </a:gs>
            <a:gs pos="100000">
              <a:srgbClr val="FF6699">
                <a:shade val="100000"/>
                <a:satMod val="115000"/>
              </a:srgbClr>
            </a:gs>
          </a:gsLst>
          <a:path path="circle">
            <a:fillToRect l="100000" b="100000"/>
          </a:path>
          <a:tileRect t="-100000" r="-100000"/>
        </a:gradFill>
        <a:ln>
          <a:noFill/>
        </a:ln>
        <a:effectLst>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190500</xdr:colOff>
      <xdr:row>0</xdr:row>
      <xdr:rowOff>261937</xdr:rowOff>
    </xdr:from>
    <xdr:to>
      <xdr:col>54</xdr:col>
      <xdr:colOff>285750</xdr:colOff>
      <xdr:row>8</xdr:row>
      <xdr:rowOff>239527</xdr:rowOff>
    </xdr:to>
    <xdr:sp macro="[0]!GoFullScreen" textlink="">
      <xdr:nvSpPr>
        <xdr:cNvPr id="4" name="Rectangle: Diagonal Corners Rounded 3">
          <a:extLst>
            <a:ext uri="{FF2B5EF4-FFF2-40B4-BE49-F238E27FC236}">
              <a16:creationId xmlns:a16="http://schemas.microsoft.com/office/drawing/2014/main" id="{0756FFEA-3543-482C-ADDC-31D79D21ABC4}"/>
            </a:ext>
          </a:extLst>
        </xdr:cNvPr>
        <xdr:cNvSpPr/>
      </xdr:nvSpPr>
      <xdr:spPr>
        <a:xfrm>
          <a:off x="190500" y="261937"/>
          <a:ext cx="33956625" cy="2454090"/>
        </a:xfrm>
        <a:prstGeom prst="round2DiagRect">
          <a:avLst/>
        </a:prstGeom>
        <a:gradFill flip="none" rotWithShape="1">
          <a:gsLst>
            <a:gs pos="0">
              <a:srgbClr val="FF6699">
                <a:shade val="30000"/>
                <a:satMod val="115000"/>
              </a:srgbClr>
            </a:gs>
            <a:gs pos="50000">
              <a:srgbClr val="FF6699">
                <a:shade val="67500"/>
                <a:satMod val="115000"/>
              </a:srgbClr>
            </a:gs>
            <a:gs pos="100000">
              <a:srgbClr val="FF6699">
                <a:shade val="100000"/>
                <a:satMod val="115000"/>
              </a:srgbClr>
            </a:gs>
          </a:gsLst>
          <a:lin ang="5400000" scaled="1"/>
          <a:tileRect/>
        </a:gradFill>
        <a:ln>
          <a:noFill/>
        </a:ln>
        <a:effectLst>
          <a:outerShdw blurRad="50800" dist="38100" algn="l" rotWithShape="0">
            <a:prstClr val="black">
              <a:alpha val="40000"/>
            </a:prstClr>
          </a:outerShd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389210</xdr:colOff>
      <xdr:row>46</xdr:row>
      <xdr:rowOff>285172</xdr:rowOff>
    </xdr:from>
    <xdr:to>
      <xdr:col>34</xdr:col>
      <xdr:colOff>357808</xdr:colOff>
      <xdr:row>52</xdr:row>
      <xdr:rowOff>232834</xdr:rowOff>
    </xdr:to>
    <xdr:sp macro="[0]!RectangleDiagonalCornersRounded3_Click" textlink="">
      <xdr:nvSpPr>
        <xdr:cNvPr id="5" name="TextBox 4">
          <a:extLst>
            <a:ext uri="{FF2B5EF4-FFF2-40B4-BE49-F238E27FC236}">
              <a16:creationId xmlns:a16="http://schemas.microsoft.com/office/drawing/2014/main" id="{ACBDF7E3-0E34-9FAF-C1BF-B3B7D5B49E6B}"/>
            </a:ext>
          </a:extLst>
        </xdr:cNvPr>
        <xdr:cNvSpPr txBox="1"/>
      </xdr:nvSpPr>
      <xdr:spPr>
        <a:xfrm>
          <a:off x="389210" y="14890172"/>
          <a:ext cx="21283431" cy="1852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latin typeface="Calibri" panose="020F0502020204030204" pitchFamily="34" charset="0"/>
            <a:cs typeface="Calibri" panose="020F0502020204030204" pitchFamily="34" charset="0"/>
          </a:endParaRPr>
        </a:p>
      </xdr:txBody>
    </xdr:sp>
    <xdr:clientData/>
  </xdr:twoCellAnchor>
  <xdr:oneCellAnchor>
    <xdr:from>
      <xdr:col>24</xdr:col>
      <xdr:colOff>502596</xdr:colOff>
      <xdr:row>16</xdr:row>
      <xdr:rowOff>32426</xdr:rowOff>
    </xdr:from>
    <xdr:ext cx="184731" cy="264560"/>
    <xdr:sp macro="" textlink="">
      <xdr:nvSpPr>
        <xdr:cNvPr id="6" name="TextBox 5">
          <a:extLst>
            <a:ext uri="{FF2B5EF4-FFF2-40B4-BE49-F238E27FC236}">
              <a16:creationId xmlns:a16="http://schemas.microsoft.com/office/drawing/2014/main" id="{D35E4A4D-E24D-7B21-6863-3AA6D1D52137}"/>
            </a:ext>
          </a:extLst>
        </xdr:cNvPr>
        <xdr:cNvSpPr txBox="1"/>
      </xdr:nvSpPr>
      <xdr:spPr>
        <a:xfrm>
          <a:off x="15574956" y="51530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a:p>
      </xdr:txBody>
    </xdr:sp>
    <xdr:clientData/>
  </xdr:oneCellAnchor>
  <xdr:twoCellAnchor editAs="oneCell">
    <xdr:from>
      <xdr:col>7</xdr:col>
      <xdr:colOff>533591</xdr:colOff>
      <xdr:row>11</xdr:row>
      <xdr:rowOff>84667</xdr:rowOff>
    </xdr:from>
    <xdr:to>
      <xdr:col>9</xdr:col>
      <xdr:colOff>717991</xdr:colOff>
      <xdr:row>15</xdr:row>
      <xdr:rowOff>203531</xdr:rowOff>
    </xdr:to>
    <xdr:pic>
      <xdr:nvPicPr>
        <xdr:cNvPr id="14" name="Graphic 13" descr="Clock with solid fill">
          <a:extLst>
            <a:ext uri="{FF2B5EF4-FFF2-40B4-BE49-F238E27FC236}">
              <a16:creationId xmlns:a16="http://schemas.microsoft.com/office/drawing/2014/main" id="{346366EE-722E-51E2-5E0A-C857C4150D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30424" y="3577167"/>
          <a:ext cx="1412067" cy="1388864"/>
        </a:xfrm>
        <a:prstGeom prst="rect">
          <a:avLst/>
        </a:prstGeom>
      </xdr:spPr>
    </xdr:pic>
    <xdr:clientData/>
  </xdr:twoCellAnchor>
  <xdr:twoCellAnchor editAs="oneCell">
    <xdr:from>
      <xdr:col>16</xdr:col>
      <xdr:colOff>293456</xdr:colOff>
      <xdr:row>11</xdr:row>
      <xdr:rowOff>40884</xdr:rowOff>
    </xdr:from>
    <xdr:to>
      <xdr:col>18</xdr:col>
      <xdr:colOff>338666</xdr:colOff>
      <xdr:row>15</xdr:row>
      <xdr:rowOff>17956</xdr:rowOff>
    </xdr:to>
    <xdr:pic>
      <xdr:nvPicPr>
        <xdr:cNvPr id="37" name="Graphic 36" descr="Bar graph with upward trend with solid fill">
          <a:extLst>
            <a:ext uri="{FF2B5EF4-FFF2-40B4-BE49-F238E27FC236}">
              <a16:creationId xmlns:a16="http://schemas.microsoft.com/office/drawing/2014/main" id="{7DFCA8A0-F83C-CEF1-8364-A39ACA31FE5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59289" y="3533384"/>
          <a:ext cx="1272877" cy="1247072"/>
        </a:xfrm>
        <a:prstGeom prst="rect">
          <a:avLst/>
        </a:prstGeom>
      </xdr:spPr>
    </xdr:pic>
    <xdr:clientData/>
  </xdr:twoCellAnchor>
  <xdr:twoCellAnchor editAs="oneCell">
    <xdr:from>
      <xdr:col>35</xdr:col>
      <xdr:colOff>197127</xdr:colOff>
      <xdr:row>10</xdr:row>
      <xdr:rowOff>291041</xdr:rowOff>
    </xdr:from>
    <xdr:to>
      <xdr:col>37</xdr:col>
      <xdr:colOff>465666</xdr:colOff>
      <xdr:row>15</xdr:row>
      <xdr:rowOff>186277</xdr:rowOff>
    </xdr:to>
    <xdr:pic>
      <xdr:nvPicPr>
        <xdr:cNvPr id="41" name="Graphic 40" descr="Lightbulb with solid fill">
          <a:extLst>
            <a:ext uri="{FF2B5EF4-FFF2-40B4-BE49-F238E27FC236}">
              <a16:creationId xmlns:a16="http://schemas.microsoft.com/office/drawing/2014/main" id="{47E51DDB-B1CF-9E7B-4197-BD6E9D96F96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0800000" flipV="1">
          <a:off x="22125794" y="3466041"/>
          <a:ext cx="1496205" cy="1482736"/>
        </a:xfrm>
        <a:prstGeom prst="rect">
          <a:avLst/>
        </a:prstGeom>
      </xdr:spPr>
    </xdr:pic>
    <xdr:clientData/>
  </xdr:twoCellAnchor>
  <xdr:twoCellAnchor editAs="oneCell">
    <xdr:from>
      <xdr:col>25</xdr:col>
      <xdr:colOff>257117</xdr:colOff>
      <xdr:row>10</xdr:row>
      <xdr:rowOff>286264</xdr:rowOff>
    </xdr:from>
    <xdr:to>
      <xdr:col>27</xdr:col>
      <xdr:colOff>529166</xdr:colOff>
      <xdr:row>15</xdr:row>
      <xdr:rowOff>174572</xdr:rowOff>
    </xdr:to>
    <xdr:pic>
      <xdr:nvPicPr>
        <xdr:cNvPr id="48" name="Graphic 47" descr="Smart Phone with solid fill">
          <a:extLst>
            <a:ext uri="{FF2B5EF4-FFF2-40B4-BE49-F238E27FC236}">
              <a16:creationId xmlns:a16="http://schemas.microsoft.com/office/drawing/2014/main" id="{6B8FB8ED-B563-1A94-04BA-03002CD0B39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047450" y="3461264"/>
          <a:ext cx="1499716" cy="1475808"/>
        </a:xfrm>
        <a:prstGeom prst="rect">
          <a:avLst/>
        </a:prstGeom>
      </xdr:spPr>
    </xdr:pic>
    <xdr:clientData/>
  </xdr:twoCellAnchor>
  <xdr:twoCellAnchor editAs="oneCell">
    <xdr:from>
      <xdr:col>0</xdr:col>
      <xdr:colOff>542768</xdr:colOff>
      <xdr:row>2</xdr:row>
      <xdr:rowOff>120978</xdr:rowOff>
    </xdr:from>
    <xdr:to>
      <xdr:col>4</xdr:col>
      <xdr:colOff>147227</xdr:colOff>
      <xdr:row>8</xdr:row>
      <xdr:rowOff>245456</xdr:rowOff>
    </xdr:to>
    <xdr:pic>
      <xdr:nvPicPr>
        <xdr:cNvPr id="27" name="Graphic 26" descr="Presentation with bar chart with solid fill">
          <a:extLst>
            <a:ext uri="{FF2B5EF4-FFF2-40B4-BE49-F238E27FC236}">
              <a16:creationId xmlns:a16="http://schemas.microsoft.com/office/drawing/2014/main" id="{30116533-FF50-7512-8FA5-BD46C385A08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42768" y="740103"/>
          <a:ext cx="2080959" cy="1981853"/>
        </a:xfrm>
        <a:prstGeom prst="rect">
          <a:avLst/>
        </a:prstGeom>
      </xdr:spPr>
    </xdr:pic>
    <xdr:clientData/>
  </xdr:twoCellAnchor>
  <xdr:twoCellAnchor>
    <xdr:from>
      <xdr:col>7</xdr:col>
      <xdr:colOff>161226</xdr:colOff>
      <xdr:row>17</xdr:row>
      <xdr:rowOff>179916</xdr:rowOff>
    </xdr:from>
    <xdr:to>
      <xdr:col>22</xdr:col>
      <xdr:colOff>453726</xdr:colOff>
      <xdr:row>59</xdr:row>
      <xdr:rowOff>238125</xdr:rowOff>
    </xdr:to>
    <xdr:sp macro="" textlink="">
      <xdr:nvSpPr>
        <xdr:cNvPr id="34" name="Rectangle: Rounded Corners 33">
          <a:extLst>
            <a:ext uri="{FF2B5EF4-FFF2-40B4-BE49-F238E27FC236}">
              <a16:creationId xmlns:a16="http://schemas.microsoft.com/office/drawing/2014/main" id="{B556F463-76A1-1F7F-E2F2-239DF8F1FA88}"/>
            </a:ext>
          </a:extLst>
        </xdr:cNvPr>
        <xdr:cNvSpPr/>
      </xdr:nvSpPr>
      <xdr:spPr>
        <a:xfrm>
          <a:off x="4495101" y="5442479"/>
          <a:ext cx="10008000" cy="1305983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5</xdr:col>
      <xdr:colOff>148167</xdr:colOff>
      <xdr:row>24</xdr:row>
      <xdr:rowOff>61123</xdr:rowOff>
    </xdr:from>
    <xdr:to>
      <xdr:col>24</xdr:col>
      <xdr:colOff>50543</xdr:colOff>
      <xdr:row>57</xdr:row>
      <xdr:rowOff>99418</xdr:rowOff>
    </xdr:to>
    <xdr:graphicFrame macro="">
      <xdr:nvGraphicFramePr>
        <xdr:cNvPr id="35" name="Chart 34">
          <a:extLst>
            <a:ext uri="{FF2B5EF4-FFF2-40B4-BE49-F238E27FC236}">
              <a16:creationId xmlns:a16="http://schemas.microsoft.com/office/drawing/2014/main" id="{4FBA3AA1-00D7-4420-BE01-B6BAE2ABF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0</xdr:colOff>
      <xdr:row>17</xdr:row>
      <xdr:rowOff>95250</xdr:rowOff>
    </xdr:from>
    <xdr:to>
      <xdr:col>42</xdr:col>
      <xdr:colOff>283116</xdr:colOff>
      <xdr:row>40</xdr:row>
      <xdr:rowOff>142875</xdr:rowOff>
    </xdr:to>
    <xdr:sp macro="" textlink="">
      <xdr:nvSpPr>
        <xdr:cNvPr id="36" name="Rectangle: Rounded Corners 35">
          <a:extLst>
            <a:ext uri="{FF2B5EF4-FFF2-40B4-BE49-F238E27FC236}">
              <a16:creationId xmlns:a16="http://schemas.microsoft.com/office/drawing/2014/main" id="{E28655C3-5611-40D3-B071-16D853F57922}"/>
            </a:ext>
          </a:extLst>
        </xdr:cNvPr>
        <xdr:cNvSpPr/>
      </xdr:nvSpPr>
      <xdr:spPr>
        <a:xfrm>
          <a:off x="14668500" y="5357813"/>
          <a:ext cx="12046491" cy="716756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23</xdr:col>
      <xdr:colOff>308464</xdr:colOff>
      <xdr:row>20</xdr:row>
      <xdr:rowOff>76511</xdr:rowOff>
    </xdr:from>
    <xdr:to>
      <xdr:col>42</xdr:col>
      <xdr:colOff>365708</xdr:colOff>
      <xdr:row>41</xdr:row>
      <xdr:rowOff>93172</xdr:rowOff>
    </xdr:to>
    <xdr:graphicFrame macro="">
      <xdr:nvGraphicFramePr>
        <xdr:cNvPr id="39" name="Chart 38">
          <a:extLst>
            <a:ext uri="{FF2B5EF4-FFF2-40B4-BE49-F238E27FC236}">
              <a16:creationId xmlns:a16="http://schemas.microsoft.com/office/drawing/2014/main" id="{B0754F68-4C2B-4F12-AC93-7312E44AB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54</xdr:col>
      <xdr:colOff>119064</xdr:colOff>
      <xdr:row>21</xdr:row>
      <xdr:rowOff>238124</xdr:rowOff>
    </xdr:from>
    <xdr:to>
      <xdr:col>70</xdr:col>
      <xdr:colOff>2</xdr:colOff>
      <xdr:row>37</xdr:row>
      <xdr:rowOff>119061</xdr:rowOff>
    </xdr:to>
    <xdr:graphicFrame macro="">
      <xdr:nvGraphicFramePr>
        <xdr:cNvPr id="40" name="Chart 39">
          <a:extLst>
            <a:ext uri="{FF2B5EF4-FFF2-40B4-BE49-F238E27FC236}">
              <a16:creationId xmlns:a16="http://schemas.microsoft.com/office/drawing/2014/main" id="{D43C8820-8952-4837-8F46-5EE7D6B70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121498</xdr:colOff>
      <xdr:row>40</xdr:row>
      <xdr:rowOff>285750</xdr:rowOff>
    </xdr:from>
    <xdr:to>
      <xdr:col>42</xdr:col>
      <xdr:colOff>285750</xdr:colOff>
      <xdr:row>60</xdr:row>
      <xdr:rowOff>71438</xdr:rowOff>
    </xdr:to>
    <xdr:sp macro="" textlink="">
      <xdr:nvSpPr>
        <xdr:cNvPr id="42" name="Rectangle: Rounded Corners 41">
          <a:extLst>
            <a:ext uri="{FF2B5EF4-FFF2-40B4-BE49-F238E27FC236}">
              <a16:creationId xmlns:a16="http://schemas.microsoft.com/office/drawing/2014/main" id="{FC27CDB8-594A-4F57-AFFD-7840F8DBE2EB}"/>
            </a:ext>
          </a:extLst>
        </xdr:cNvPr>
        <xdr:cNvSpPr/>
      </xdr:nvSpPr>
      <xdr:spPr>
        <a:xfrm>
          <a:off x="14789998" y="12668250"/>
          <a:ext cx="11927627" cy="597693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42</xdr:col>
      <xdr:colOff>500062</xdr:colOff>
      <xdr:row>40</xdr:row>
      <xdr:rowOff>150349</xdr:rowOff>
    </xdr:from>
    <xdr:to>
      <xdr:col>55</xdr:col>
      <xdr:colOff>214312</xdr:colOff>
      <xdr:row>60</xdr:row>
      <xdr:rowOff>261938</xdr:rowOff>
    </xdr:to>
    <xdr:sp macro="" textlink="">
      <xdr:nvSpPr>
        <xdr:cNvPr id="43" name="Rectangle: Rounded Corners 42">
          <a:extLst>
            <a:ext uri="{FF2B5EF4-FFF2-40B4-BE49-F238E27FC236}">
              <a16:creationId xmlns:a16="http://schemas.microsoft.com/office/drawing/2014/main" id="{78FF1368-62DE-4FAE-9891-3333DE4AC509}"/>
            </a:ext>
          </a:extLst>
        </xdr:cNvPr>
        <xdr:cNvSpPr/>
      </xdr:nvSpPr>
      <xdr:spPr>
        <a:xfrm>
          <a:off x="26931937" y="12532849"/>
          <a:ext cx="7762875" cy="630283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43</xdr:col>
      <xdr:colOff>452437</xdr:colOff>
      <xdr:row>20</xdr:row>
      <xdr:rowOff>119062</xdr:rowOff>
    </xdr:from>
    <xdr:to>
      <xdr:col>55</xdr:col>
      <xdr:colOff>285750</xdr:colOff>
      <xdr:row>38</xdr:row>
      <xdr:rowOff>95250</xdr:rowOff>
    </xdr:to>
    <xdr:graphicFrame macro="">
      <xdr:nvGraphicFramePr>
        <xdr:cNvPr id="44" name="Chart 43">
          <a:extLst>
            <a:ext uri="{FF2B5EF4-FFF2-40B4-BE49-F238E27FC236}">
              <a16:creationId xmlns:a16="http://schemas.microsoft.com/office/drawing/2014/main" id="{9481DE91-6C17-4BCA-9E56-9A713A587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42</xdr:col>
      <xdr:colOff>452439</xdr:colOff>
      <xdr:row>17</xdr:row>
      <xdr:rowOff>23813</xdr:rowOff>
    </xdr:from>
    <xdr:to>
      <xdr:col>56</xdr:col>
      <xdr:colOff>119063</xdr:colOff>
      <xdr:row>40</xdr:row>
      <xdr:rowOff>16858</xdr:rowOff>
    </xdr:to>
    <xdr:sp macro="" textlink="">
      <xdr:nvSpPr>
        <xdr:cNvPr id="46" name="Rectangle: Rounded Corners 45">
          <a:extLst>
            <a:ext uri="{FF2B5EF4-FFF2-40B4-BE49-F238E27FC236}">
              <a16:creationId xmlns:a16="http://schemas.microsoft.com/office/drawing/2014/main" id="{31CFE4F2-BFBE-40D9-9BB2-27E17FC1ADD2}"/>
            </a:ext>
          </a:extLst>
        </xdr:cNvPr>
        <xdr:cNvSpPr/>
      </xdr:nvSpPr>
      <xdr:spPr>
        <a:xfrm>
          <a:off x="26884314" y="5286376"/>
          <a:ext cx="8334374" cy="711298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0</xdr:col>
      <xdr:colOff>356957</xdr:colOff>
      <xdr:row>42</xdr:row>
      <xdr:rowOff>280700</xdr:rowOff>
    </xdr:from>
    <xdr:to>
      <xdr:col>6</xdr:col>
      <xdr:colOff>119062</xdr:colOff>
      <xdr:row>58</xdr:row>
      <xdr:rowOff>268022</xdr:rowOff>
    </xdr:to>
    <mc:AlternateContent xmlns:mc="http://schemas.openxmlformats.org/markup-compatibility/2006" xmlns:a14="http://schemas.microsoft.com/office/drawing/2010/main">
      <mc:Choice Requires="a14">
        <xdr:graphicFrame macro="">
          <xdr:nvGraphicFramePr>
            <xdr:cNvPr id="50" name="Date">
              <a:extLst>
                <a:ext uri="{FF2B5EF4-FFF2-40B4-BE49-F238E27FC236}">
                  <a16:creationId xmlns:a16="http://schemas.microsoft.com/office/drawing/2014/main" id="{53F840C9-3B0E-68BD-8254-5E7B58AC66B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56957" y="14149100"/>
              <a:ext cx="3419705" cy="5270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304298</xdr:colOff>
      <xdr:row>26</xdr:row>
      <xdr:rowOff>275168</xdr:rowOff>
    </xdr:from>
    <xdr:to>
      <xdr:col>6</xdr:col>
      <xdr:colOff>166688</xdr:colOff>
      <xdr:row>41</xdr:row>
      <xdr:rowOff>296406</xdr:rowOff>
    </xdr:to>
    <mc:AlternateContent xmlns:mc="http://schemas.openxmlformats.org/markup-compatibility/2006" xmlns:a14="http://schemas.microsoft.com/office/drawing/2010/main">
      <mc:Choice Requires="a14">
        <xdr:graphicFrame macro="">
          <xdr:nvGraphicFramePr>
            <xdr:cNvPr id="52" name="Most Used App&#10;(App Name)">
              <a:extLst>
                <a:ext uri="{FF2B5EF4-FFF2-40B4-BE49-F238E27FC236}">
                  <a16:creationId xmlns:a16="http://schemas.microsoft.com/office/drawing/2014/main" id="{A3815674-880F-E110-BA2C-77B8C4834E79}"/>
                </a:ext>
              </a:extLst>
            </xdr:cNvPr>
            <xdr:cNvGraphicFramePr/>
          </xdr:nvGraphicFramePr>
          <xdr:xfrm>
            <a:off x="0" y="0"/>
            <a:ext cx="0" cy="0"/>
          </xdr:xfrm>
          <a:graphic>
            <a:graphicData uri="http://schemas.microsoft.com/office/drawing/2010/slicer">
              <sle:slicer xmlns:sle="http://schemas.microsoft.com/office/drawing/2010/slicer" name="Most Used App&#10;(App Name)"/>
            </a:graphicData>
          </a:graphic>
        </xdr:graphicFrame>
      </mc:Choice>
      <mc:Fallback xmlns="">
        <xdr:sp macro="" textlink="">
          <xdr:nvSpPr>
            <xdr:cNvPr id="0" name=""/>
            <xdr:cNvSpPr>
              <a:spLocks noTextEdit="1"/>
            </xdr:cNvSpPr>
          </xdr:nvSpPr>
          <xdr:spPr>
            <a:xfrm>
              <a:off x="304298" y="8860368"/>
              <a:ext cx="3519990" cy="4974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0</xdr:row>
      <xdr:rowOff>0</xdr:rowOff>
    </xdr:from>
    <xdr:to>
      <xdr:col>0</xdr:col>
      <xdr:colOff>259080</xdr:colOff>
      <xdr:row>0</xdr:row>
      <xdr:rowOff>76200</xdr:rowOff>
    </xdr:to>
    <xdr:sp macro="" textlink="">
      <xdr:nvSpPr>
        <xdr:cNvPr id="9" name="Rectangle 8">
          <a:extLst>
            <a:ext uri="{FF2B5EF4-FFF2-40B4-BE49-F238E27FC236}">
              <a16:creationId xmlns:a16="http://schemas.microsoft.com/office/drawing/2014/main" id="{5F8C5A03-72A7-5190-905F-0F3548A9DC64}"/>
            </a:ext>
          </a:extLst>
        </xdr:cNvPr>
        <xdr:cNvSpPr/>
      </xdr:nvSpPr>
      <xdr:spPr>
        <a:xfrm>
          <a:off x="60960" y="0"/>
          <a:ext cx="198120" cy="76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23813</xdr:rowOff>
    </xdr:from>
    <xdr:to>
      <xdr:col>69</xdr:col>
      <xdr:colOff>1</xdr:colOff>
      <xdr:row>62</xdr:row>
      <xdr:rowOff>261938</xdr:rowOff>
    </xdr:to>
    <xdr:sp macro="" textlink="">
      <xdr:nvSpPr>
        <xdr:cNvPr id="10" name="Rectangle 9">
          <a:extLst>
            <a:ext uri="{FF2B5EF4-FFF2-40B4-BE49-F238E27FC236}">
              <a16:creationId xmlns:a16="http://schemas.microsoft.com/office/drawing/2014/main" id="{056DEE63-C82F-6EC7-B1FD-224A21237224}"/>
            </a:ext>
          </a:extLst>
        </xdr:cNvPr>
        <xdr:cNvSpPr/>
      </xdr:nvSpPr>
      <xdr:spPr>
        <a:xfrm>
          <a:off x="1" y="23813"/>
          <a:ext cx="43148250" cy="19431000"/>
        </a:xfrm>
        <a:prstGeom prst="rec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590986</xdr:colOff>
      <xdr:row>21</xdr:row>
      <xdr:rowOff>133167</xdr:rowOff>
    </xdr:from>
    <xdr:to>
      <xdr:col>19</xdr:col>
      <xdr:colOff>476250</xdr:colOff>
      <xdr:row>24</xdr:row>
      <xdr:rowOff>285749</xdr:rowOff>
    </xdr:to>
    <xdr:sp macro="" textlink="">
      <xdr:nvSpPr>
        <xdr:cNvPr id="12" name="TextBox 11">
          <a:extLst>
            <a:ext uri="{FF2B5EF4-FFF2-40B4-BE49-F238E27FC236}">
              <a16:creationId xmlns:a16="http://schemas.microsoft.com/office/drawing/2014/main" id="{B6EEAB42-93AD-3E05-25E1-991048B41651}"/>
            </a:ext>
          </a:extLst>
        </xdr:cNvPr>
        <xdr:cNvSpPr txBox="1"/>
      </xdr:nvSpPr>
      <xdr:spPr>
        <a:xfrm>
          <a:off x="6163111" y="6633980"/>
          <a:ext cx="6505139" cy="1081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u="sng">
              <a:solidFill>
                <a:schemeClr val="tx1"/>
              </a:solidFill>
              <a:latin typeface="Calibri" panose="020F0502020204030204" pitchFamily="34" charset="0"/>
              <a:cs typeface="Calibri" panose="020F0502020204030204" pitchFamily="34" charset="0"/>
            </a:rPr>
            <a:t>Daily</a:t>
          </a:r>
          <a:r>
            <a:rPr lang="en-IN" sz="4800" b="1" u="sng" baseline="0">
              <a:solidFill>
                <a:schemeClr val="tx1"/>
              </a:solidFill>
              <a:latin typeface="Calibri" panose="020F0502020204030204" pitchFamily="34" charset="0"/>
              <a:cs typeface="Calibri" panose="020F0502020204030204" pitchFamily="34" charset="0"/>
            </a:rPr>
            <a:t> Screen Time Trend </a:t>
          </a:r>
          <a:endParaRPr lang="en-IN" sz="4800" b="1" u="sng">
            <a:solidFill>
              <a:schemeClr val="tx1"/>
            </a:solidFill>
            <a:latin typeface="Calibri" panose="020F0502020204030204" pitchFamily="34" charset="0"/>
            <a:cs typeface="Calibri" panose="020F0502020204030204" pitchFamily="34" charset="0"/>
          </a:endParaRPr>
        </a:p>
      </xdr:txBody>
    </xdr:sp>
    <xdr:clientData/>
  </xdr:twoCellAnchor>
  <xdr:twoCellAnchor>
    <xdr:from>
      <xdr:col>45</xdr:col>
      <xdr:colOff>366153</xdr:colOff>
      <xdr:row>40</xdr:row>
      <xdr:rowOff>230393</xdr:rowOff>
    </xdr:from>
    <xdr:to>
      <xdr:col>56</xdr:col>
      <xdr:colOff>23811</xdr:colOff>
      <xdr:row>45</xdr:row>
      <xdr:rowOff>190499</xdr:rowOff>
    </xdr:to>
    <xdr:sp macro="" textlink="">
      <xdr:nvSpPr>
        <xdr:cNvPr id="58" name="TextBox 57">
          <a:extLst>
            <a:ext uri="{FF2B5EF4-FFF2-40B4-BE49-F238E27FC236}">
              <a16:creationId xmlns:a16="http://schemas.microsoft.com/office/drawing/2014/main" id="{6C60C99E-49EC-77AC-5BF9-795D5310D838}"/>
            </a:ext>
          </a:extLst>
        </xdr:cNvPr>
        <xdr:cNvSpPr txBox="1"/>
      </xdr:nvSpPr>
      <xdr:spPr>
        <a:xfrm>
          <a:off x="28655403" y="12612893"/>
          <a:ext cx="6468033" cy="1507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u="sng">
              <a:latin typeface="Calibri" panose="020F0502020204030204" pitchFamily="34" charset="0"/>
              <a:cs typeface="Calibri" panose="020F0502020204030204" pitchFamily="34" charset="0"/>
            </a:rPr>
            <a:t>Usage Distrubution </a:t>
          </a:r>
        </a:p>
      </xdr:txBody>
    </xdr:sp>
    <xdr:clientData/>
  </xdr:twoCellAnchor>
  <xdr:twoCellAnchor editAs="oneCell">
    <xdr:from>
      <xdr:col>46</xdr:col>
      <xdr:colOff>229128</xdr:colOff>
      <xdr:row>2</xdr:row>
      <xdr:rowOff>224155</xdr:rowOff>
    </xdr:from>
    <xdr:to>
      <xdr:col>49</xdr:col>
      <xdr:colOff>479707</xdr:colOff>
      <xdr:row>9</xdr:row>
      <xdr:rowOff>6775</xdr:rowOff>
    </xdr:to>
    <xdr:pic macro="[0]!Graphic59_Click">
      <xdr:nvPicPr>
        <xdr:cNvPr id="60" name="Graphic 59" descr="Monitor with solid fill">
          <a:extLst>
            <a:ext uri="{FF2B5EF4-FFF2-40B4-BE49-F238E27FC236}">
              <a16:creationId xmlns:a16="http://schemas.microsoft.com/office/drawing/2014/main" id="{CAE3CC36-0827-B3E5-B717-66200C09255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9137503" y="843280"/>
          <a:ext cx="2107954" cy="1949558"/>
        </a:xfrm>
        <a:prstGeom prst="rect">
          <a:avLst/>
        </a:prstGeom>
      </xdr:spPr>
    </xdr:pic>
    <xdr:clientData/>
  </xdr:twoCellAnchor>
  <xdr:twoCellAnchor>
    <xdr:from>
      <xdr:col>44</xdr:col>
      <xdr:colOff>465668</xdr:colOff>
      <xdr:row>10</xdr:row>
      <xdr:rowOff>84667</xdr:rowOff>
    </xdr:from>
    <xdr:to>
      <xdr:col>54</xdr:col>
      <xdr:colOff>63501</xdr:colOff>
      <xdr:row>16</xdr:row>
      <xdr:rowOff>102466</xdr:rowOff>
    </xdr:to>
    <xdr:sp macro="" textlink="">
      <xdr:nvSpPr>
        <xdr:cNvPr id="1028" name="Rectangle: Rounded Corners 1027">
          <a:extLst>
            <a:ext uri="{FF2B5EF4-FFF2-40B4-BE49-F238E27FC236}">
              <a16:creationId xmlns:a16="http://schemas.microsoft.com/office/drawing/2014/main" id="{9A820215-DBAF-BB14-4E89-7939529FC0EE}"/>
            </a:ext>
          </a:extLst>
        </xdr:cNvPr>
        <xdr:cNvSpPr/>
      </xdr:nvSpPr>
      <xdr:spPr>
        <a:xfrm>
          <a:off x="27918835" y="3259667"/>
          <a:ext cx="5736166" cy="1922799"/>
        </a:xfrm>
        <a:prstGeom prst="roundRect">
          <a:avLst/>
        </a:prstGeom>
        <a:blipFill>
          <a:blip xmlns:r="http://schemas.openxmlformats.org/officeDocument/2006/relationships" r:embed="rId1"/>
          <a:tile tx="0" ty="0" sx="100000" sy="100000" flip="none" algn="tl"/>
        </a:blipFill>
        <a:ln>
          <a:noFill/>
        </a:ln>
        <a:effectLst>
          <a:glow rad="101600">
            <a:srgbClr val="FF6699">
              <a:alpha val="60000"/>
            </a:srgb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sz="1200"/>
        </a:p>
      </xdr:txBody>
    </xdr:sp>
    <xdr:clientData/>
  </xdr:twoCellAnchor>
  <xdr:twoCellAnchor>
    <xdr:from>
      <xdr:col>14</xdr:col>
      <xdr:colOff>119064</xdr:colOff>
      <xdr:row>3</xdr:row>
      <xdr:rowOff>47625</xdr:rowOff>
    </xdr:from>
    <xdr:to>
      <xdr:col>41</xdr:col>
      <xdr:colOff>261939</xdr:colOff>
      <xdr:row>9</xdr:row>
      <xdr:rowOff>214313</xdr:rowOff>
    </xdr:to>
    <xdr:sp macro="" textlink="">
      <xdr:nvSpPr>
        <xdr:cNvPr id="1030" name="TextBox 1029">
          <a:extLst>
            <a:ext uri="{FF2B5EF4-FFF2-40B4-BE49-F238E27FC236}">
              <a16:creationId xmlns:a16="http://schemas.microsoft.com/office/drawing/2014/main" id="{2EEA5D95-6AF0-EE92-6EE6-91D371C75ACD}"/>
            </a:ext>
          </a:extLst>
        </xdr:cNvPr>
        <xdr:cNvSpPr txBox="1"/>
      </xdr:nvSpPr>
      <xdr:spPr>
        <a:xfrm>
          <a:off x="9215439" y="976313"/>
          <a:ext cx="16859250" cy="2024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6000" b="1" i="0" u="sng">
              <a:latin typeface="Calibri" panose="020F0502020204030204" pitchFamily="34" charset="0"/>
              <a:cs typeface="Calibri" panose="020F0502020204030204" pitchFamily="34" charset="0"/>
            </a:rPr>
            <a:t>DIGITAL BEHAVIOR INTELLIGENCE DASHBOARD</a:t>
          </a:r>
        </a:p>
        <a:p>
          <a:endParaRPr lang="en-IN" sz="1400" b="1" i="0" u="sng"/>
        </a:p>
      </xdr:txBody>
    </xdr:sp>
    <xdr:clientData/>
  </xdr:twoCellAnchor>
  <xdr:twoCellAnchor editAs="oneCell">
    <xdr:from>
      <xdr:col>0</xdr:col>
      <xdr:colOff>296679</xdr:colOff>
      <xdr:row>11</xdr:row>
      <xdr:rowOff>276164</xdr:rowOff>
    </xdr:from>
    <xdr:to>
      <xdr:col>6</xdr:col>
      <xdr:colOff>142876</xdr:colOff>
      <xdr:row>26</xdr:row>
      <xdr:rowOff>50653</xdr:rowOff>
    </xdr:to>
    <mc:AlternateContent xmlns:mc="http://schemas.openxmlformats.org/markup-compatibility/2006" xmlns:a14="http://schemas.microsoft.com/office/drawing/2010/main">
      <mc:Choice Requires="a14">
        <xdr:graphicFrame macro="">
          <xdr:nvGraphicFramePr>
            <xdr:cNvPr id="1031" name="Day 1">
              <a:extLst>
                <a:ext uri="{FF2B5EF4-FFF2-40B4-BE49-F238E27FC236}">
                  <a16:creationId xmlns:a16="http://schemas.microsoft.com/office/drawing/2014/main" id="{5CAEFD50-FA56-7C2E-58BB-02DBED475970}"/>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296679" y="3908364"/>
              <a:ext cx="3503797" cy="4727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55</xdr:col>
      <xdr:colOff>595313</xdr:colOff>
      <xdr:row>42</xdr:row>
      <xdr:rowOff>214313</xdr:rowOff>
    </xdr:from>
    <xdr:to>
      <xdr:col>67</xdr:col>
      <xdr:colOff>607345</xdr:colOff>
      <xdr:row>62</xdr:row>
      <xdr:rowOff>142876</xdr:rowOff>
    </xdr:to>
    <xdr:graphicFrame macro="">
      <xdr:nvGraphicFramePr>
        <xdr:cNvPr id="1032" name="Chart 1031">
          <a:extLst>
            <a:ext uri="{FF2B5EF4-FFF2-40B4-BE49-F238E27FC236}">
              <a16:creationId xmlns:a16="http://schemas.microsoft.com/office/drawing/2014/main" id="{DE9E5C17-53B5-79A0-2D1E-8A7FA39D3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45</xdr:col>
      <xdr:colOff>215610</xdr:colOff>
      <xdr:row>11</xdr:row>
      <xdr:rowOff>128111</xdr:rowOff>
    </xdr:from>
    <xdr:to>
      <xdr:col>47</xdr:col>
      <xdr:colOff>196708</xdr:colOff>
      <xdr:row>15</xdr:row>
      <xdr:rowOff>45388</xdr:rowOff>
    </xdr:to>
    <xdr:pic>
      <xdr:nvPicPr>
        <xdr:cNvPr id="45" name="Picture 44" descr="Bullseye with solid fill">
          <a:extLst>
            <a:ext uri="{FF2B5EF4-FFF2-40B4-BE49-F238E27FC236}">
              <a16:creationId xmlns:a16="http://schemas.microsoft.com/office/drawing/2014/main" id="{DA021AA1-BA79-045E-7799-CEEBB35C77F1}"/>
            </a:ext>
          </a:extLst>
        </xdr:cNvPr>
        <xdr:cNvPicPr>
          <a:picLocks noChangeAspect="1"/>
        </xdr:cNvPicPr>
      </xdr:nvPicPr>
      <xdr:blipFill>
        <a:blip xmlns:r="http://schemas.openxmlformats.org/officeDocument/2006/relationships" r:embed="rId20"/>
        <a:stretch>
          <a:fillRect/>
        </a:stretch>
      </xdr:blipFill>
      <xdr:spPr>
        <a:xfrm>
          <a:off x="28282610" y="3620611"/>
          <a:ext cx="1208765" cy="1187277"/>
        </a:xfrm>
        <a:prstGeom prst="rect">
          <a:avLst/>
        </a:prstGeom>
      </xdr:spPr>
    </xdr:pic>
    <xdr:clientData/>
  </xdr:twoCellAnchor>
  <xdr:twoCellAnchor>
    <xdr:from>
      <xdr:col>50</xdr:col>
      <xdr:colOff>147387</xdr:colOff>
      <xdr:row>13</xdr:row>
      <xdr:rowOff>1052</xdr:rowOff>
    </xdr:from>
    <xdr:to>
      <xdr:col>52</xdr:col>
      <xdr:colOff>532496</xdr:colOff>
      <xdr:row>16</xdr:row>
      <xdr:rowOff>176945</xdr:rowOff>
    </xdr:to>
    <xdr:sp macro="" textlink="">
      <xdr:nvSpPr>
        <xdr:cNvPr id="11" name="TextBox 10">
          <a:extLst>
            <a:ext uri="{FF2B5EF4-FFF2-40B4-BE49-F238E27FC236}">
              <a16:creationId xmlns:a16="http://schemas.microsoft.com/office/drawing/2014/main" id="{4876B6E3-8ECF-FE04-1122-9FE8A53ADB0B}"/>
            </a:ext>
          </a:extLst>
        </xdr:cNvPr>
        <xdr:cNvSpPr txBox="1"/>
      </xdr:nvSpPr>
      <xdr:spPr>
        <a:xfrm>
          <a:off x="31283554" y="4128552"/>
          <a:ext cx="1612775" cy="1128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atin typeface="Calibri" panose="020F0502020204030204" pitchFamily="34" charset="0"/>
              <a:cs typeface="Calibri" panose="020F0502020204030204" pitchFamily="34" charset="0"/>
            </a:rPr>
            <a:t>33%</a:t>
          </a:r>
        </a:p>
      </xdr:txBody>
    </xdr:sp>
    <xdr:clientData/>
  </xdr:twoCellAnchor>
  <xdr:twoCellAnchor>
    <xdr:from>
      <xdr:col>48</xdr:col>
      <xdr:colOff>529166</xdr:colOff>
      <xdr:row>11</xdr:row>
      <xdr:rowOff>0</xdr:rowOff>
    </xdr:from>
    <xdr:to>
      <xdr:col>54</xdr:col>
      <xdr:colOff>21166</xdr:colOff>
      <xdr:row>13</xdr:row>
      <xdr:rowOff>63499</xdr:rowOff>
    </xdr:to>
    <xdr:sp macro="" textlink="">
      <xdr:nvSpPr>
        <xdr:cNvPr id="17" name="TextBox 16">
          <a:extLst>
            <a:ext uri="{FF2B5EF4-FFF2-40B4-BE49-F238E27FC236}">
              <a16:creationId xmlns:a16="http://schemas.microsoft.com/office/drawing/2014/main" id="{D3B83DD4-C9A7-3989-842E-E49DD8F901DA}"/>
            </a:ext>
          </a:extLst>
        </xdr:cNvPr>
        <xdr:cNvSpPr txBox="1"/>
      </xdr:nvSpPr>
      <xdr:spPr>
        <a:xfrm>
          <a:off x="30437666" y="3492500"/>
          <a:ext cx="3175000" cy="698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latin typeface="Calibri" panose="020F0502020204030204" pitchFamily="34" charset="0"/>
              <a:cs typeface="Calibri" panose="020F0502020204030204" pitchFamily="34" charset="0"/>
            </a:rPr>
            <a:t>Productivity Ratio</a:t>
          </a:r>
        </a:p>
      </xdr:txBody>
    </xdr:sp>
    <xdr:clientData/>
  </xdr:twoCellAnchor>
  <xdr:twoCellAnchor>
    <xdr:from>
      <xdr:col>29</xdr:col>
      <xdr:colOff>232832</xdr:colOff>
      <xdr:row>11</xdr:row>
      <xdr:rowOff>63497</xdr:rowOff>
    </xdr:from>
    <xdr:to>
      <xdr:col>35</xdr:col>
      <xdr:colOff>338666</xdr:colOff>
      <xdr:row>13</xdr:row>
      <xdr:rowOff>253998</xdr:rowOff>
    </xdr:to>
    <xdr:sp macro="" textlink="">
      <xdr:nvSpPr>
        <xdr:cNvPr id="18" name="TextBox 17">
          <a:extLst>
            <a:ext uri="{FF2B5EF4-FFF2-40B4-BE49-F238E27FC236}">
              <a16:creationId xmlns:a16="http://schemas.microsoft.com/office/drawing/2014/main" id="{91CD0073-22E7-77FB-F6EA-7509F129F00B}"/>
            </a:ext>
          </a:extLst>
        </xdr:cNvPr>
        <xdr:cNvSpPr txBox="1"/>
      </xdr:nvSpPr>
      <xdr:spPr>
        <a:xfrm>
          <a:off x="18478499" y="3555997"/>
          <a:ext cx="3788834" cy="825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atin typeface="Calibri" panose="020F0502020204030204" pitchFamily="34" charset="0"/>
              <a:cs typeface="Calibri" panose="020F0502020204030204" pitchFamily="34" charset="0"/>
            </a:rPr>
            <a:t>Total Pickups</a:t>
          </a:r>
        </a:p>
      </xdr:txBody>
    </xdr:sp>
    <xdr:clientData/>
  </xdr:twoCellAnchor>
  <xdr:twoCellAnchor>
    <xdr:from>
      <xdr:col>57</xdr:col>
      <xdr:colOff>333376</xdr:colOff>
      <xdr:row>17</xdr:row>
      <xdr:rowOff>238125</xdr:rowOff>
    </xdr:from>
    <xdr:to>
      <xdr:col>69</xdr:col>
      <xdr:colOff>71438</xdr:colOff>
      <xdr:row>21</xdr:row>
      <xdr:rowOff>47625</xdr:rowOff>
    </xdr:to>
    <xdr:sp macro="" textlink="">
      <xdr:nvSpPr>
        <xdr:cNvPr id="20" name="TextBox 19">
          <a:extLst>
            <a:ext uri="{FF2B5EF4-FFF2-40B4-BE49-F238E27FC236}">
              <a16:creationId xmlns:a16="http://schemas.microsoft.com/office/drawing/2014/main" id="{D4601563-CFE2-A55F-DB62-EEC3080747F3}"/>
            </a:ext>
          </a:extLst>
        </xdr:cNvPr>
        <xdr:cNvSpPr txBox="1"/>
      </xdr:nvSpPr>
      <xdr:spPr>
        <a:xfrm>
          <a:off x="36052126" y="5500688"/>
          <a:ext cx="7167562"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4000" b="1" i="0" u="sng" baseline="0">
              <a:solidFill>
                <a:schemeClr val="dk1"/>
              </a:solidFill>
              <a:effectLst/>
              <a:latin typeface="+mn-lt"/>
              <a:ea typeface="+mn-ea"/>
              <a:cs typeface="+mn-cs"/>
            </a:rPr>
            <a:t>Digital Activity Pattern Analysis</a:t>
          </a:r>
          <a:endParaRPr lang="en-IN" sz="4000">
            <a:effectLst/>
          </a:endParaRPr>
        </a:p>
        <a:p>
          <a:endParaRPr lang="en-IN" sz="1100"/>
        </a:p>
      </xdr:txBody>
    </xdr:sp>
    <xdr:clientData/>
  </xdr:twoCellAnchor>
  <xdr:twoCellAnchor>
    <xdr:from>
      <xdr:col>55</xdr:col>
      <xdr:colOff>381001</xdr:colOff>
      <xdr:row>40</xdr:row>
      <xdr:rowOff>119064</xdr:rowOff>
    </xdr:from>
    <xdr:to>
      <xdr:col>68</xdr:col>
      <xdr:colOff>476250</xdr:colOff>
      <xdr:row>60</xdr:row>
      <xdr:rowOff>95251</xdr:rowOff>
    </xdr:to>
    <xdr:sp macro="" textlink="">
      <xdr:nvSpPr>
        <xdr:cNvPr id="21" name="Rectangle: Rounded Corners 20">
          <a:extLst>
            <a:ext uri="{FF2B5EF4-FFF2-40B4-BE49-F238E27FC236}">
              <a16:creationId xmlns:a16="http://schemas.microsoft.com/office/drawing/2014/main" id="{C3591FDD-BF63-49CD-9FF7-E22585566254}"/>
            </a:ext>
          </a:extLst>
        </xdr:cNvPr>
        <xdr:cNvSpPr/>
      </xdr:nvSpPr>
      <xdr:spPr>
        <a:xfrm>
          <a:off x="34861501" y="12501564"/>
          <a:ext cx="8143874" cy="616743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57</xdr:col>
      <xdr:colOff>476250</xdr:colOff>
      <xdr:row>40</xdr:row>
      <xdr:rowOff>238124</xdr:rowOff>
    </xdr:from>
    <xdr:to>
      <xdr:col>68</xdr:col>
      <xdr:colOff>476250</xdr:colOff>
      <xdr:row>44</xdr:row>
      <xdr:rowOff>95249</xdr:rowOff>
    </xdr:to>
    <xdr:sp macro="" textlink="">
      <xdr:nvSpPr>
        <xdr:cNvPr id="26" name="TextBox 25">
          <a:extLst>
            <a:ext uri="{FF2B5EF4-FFF2-40B4-BE49-F238E27FC236}">
              <a16:creationId xmlns:a16="http://schemas.microsoft.com/office/drawing/2014/main" id="{33C34487-A42E-B235-EFC1-2D7584B06154}"/>
            </a:ext>
          </a:extLst>
        </xdr:cNvPr>
        <xdr:cNvSpPr txBox="1"/>
      </xdr:nvSpPr>
      <xdr:spPr>
        <a:xfrm>
          <a:off x="36195000" y="12620624"/>
          <a:ext cx="6810375" cy="1095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4000" b="1" i="0" u="sng" baseline="0">
              <a:solidFill>
                <a:schemeClr val="dk1"/>
              </a:solidFill>
              <a:effectLst/>
              <a:latin typeface="Calibri" panose="020F0502020204030204" pitchFamily="34" charset="0"/>
              <a:ea typeface="+mn-ea"/>
              <a:cs typeface="Calibri" panose="020F0502020204030204" pitchFamily="34" charset="0"/>
            </a:rPr>
            <a:t>Weekly Digital Activity Trend</a:t>
          </a:r>
          <a:endParaRPr lang="en-IN" sz="4000">
            <a:effectLst/>
            <a:latin typeface="Calibri" panose="020F0502020204030204" pitchFamily="34" charset="0"/>
            <a:cs typeface="Calibri" panose="020F0502020204030204" pitchFamily="34" charset="0"/>
          </a:endParaRPr>
        </a:p>
        <a:p>
          <a:endParaRPr lang="en-IN" sz="2000"/>
        </a:p>
      </xdr:txBody>
    </xdr:sp>
    <xdr:clientData/>
  </xdr:twoCellAnchor>
  <xdr:twoCellAnchor>
    <xdr:from>
      <xdr:col>56</xdr:col>
      <xdr:colOff>428625</xdr:colOff>
      <xdr:row>16</xdr:row>
      <xdr:rowOff>23812</xdr:rowOff>
    </xdr:from>
    <xdr:to>
      <xdr:col>68</xdr:col>
      <xdr:colOff>357188</xdr:colOff>
      <xdr:row>39</xdr:row>
      <xdr:rowOff>190499</xdr:rowOff>
    </xdr:to>
    <xdr:sp macro="" textlink="">
      <xdr:nvSpPr>
        <xdr:cNvPr id="29" name="Rectangle: Rounded Corners 28">
          <a:extLst>
            <a:ext uri="{FF2B5EF4-FFF2-40B4-BE49-F238E27FC236}">
              <a16:creationId xmlns:a16="http://schemas.microsoft.com/office/drawing/2014/main" id="{63704CFC-F5DB-4693-8710-96C0F8B1CF7F}"/>
            </a:ext>
          </a:extLst>
        </xdr:cNvPr>
        <xdr:cNvSpPr/>
      </xdr:nvSpPr>
      <xdr:spPr>
        <a:xfrm>
          <a:off x="35528250" y="4976812"/>
          <a:ext cx="7358063" cy="728662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23</xdr:col>
      <xdr:colOff>357185</xdr:colOff>
      <xdr:row>44</xdr:row>
      <xdr:rowOff>285751</xdr:rowOff>
    </xdr:from>
    <xdr:to>
      <xdr:col>42</xdr:col>
      <xdr:colOff>547687</xdr:colOff>
      <xdr:row>59</xdr:row>
      <xdr:rowOff>290513</xdr:rowOff>
    </xdr:to>
    <xdr:graphicFrame macro="">
      <xdr:nvGraphicFramePr>
        <xdr:cNvPr id="33" name="Chart 32">
          <a:extLst>
            <a:ext uri="{FF2B5EF4-FFF2-40B4-BE49-F238E27FC236}">
              <a16:creationId xmlns:a16="http://schemas.microsoft.com/office/drawing/2014/main" id="{CB6F2B2A-6854-45FB-9A38-3C933FBFD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71438</xdr:colOff>
      <xdr:row>41</xdr:row>
      <xdr:rowOff>166687</xdr:rowOff>
    </xdr:from>
    <xdr:to>
      <xdr:col>37</xdr:col>
      <xdr:colOff>285751</xdr:colOff>
      <xdr:row>43</xdr:row>
      <xdr:rowOff>261937</xdr:rowOff>
    </xdr:to>
    <xdr:sp macro="" textlink="">
      <xdr:nvSpPr>
        <xdr:cNvPr id="38" name="TextBox 37">
          <a:extLst>
            <a:ext uri="{FF2B5EF4-FFF2-40B4-BE49-F238E27FC236}">
              <a16:creationId xmlns:a16="http://schemas.microsoft.com/office/drawing/2014/main" id="{18CCC5C7-046C-2C47-347B-346F80894D12}"/>
            </a:ext>
          </a:extLst>
        </xdr:cNvPr>
        <xdr:cNvSpPr txBox="1"/>
      </xdr:nvSpPr>
      <xdr:spPr>
        <a:xfrm>
          <a:off x="18454688" y="12858750"/>
          <a:ext cx="5167313"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u="sng">
              <a:latin typeface="Calibri" panose="020F0502020204030204" pitchFamily="34" charset="0"/>
              <a:cs typeface="Calibri" panose="020F0502020204030204" pitchFamily="34" charset="0"/>
            </a:rPr>
            <a:t>App Usage Distribution </a:t>
          </a:r>
        </a:p>
      </xdr:txBody>
    </xdr:sp>
    <xdr:clientData/>
  </xdr:twoCellAnchor>
  <xdr:twoCellAnchor>
    <xdr:from>
      <xdr:col>54</xdr:col>
      <xdr:colOff>428625</xdr:colOff>
      <xdr:row>0</xdr:row>
      <xdr:rowOff>190500</xdr:rowOff>
    </xdr:from>
    <xdr:to>
      <xdr:col>68</xdr:col>
      <xdr:colOff>404813</xdr:colOff>
      <xdr:row>15</xdr:row>
      <xdr:rowOff>214312</xdr:rowOff>
    </xdr:to>
    <xdr:sp macro="" textlink="">
      <xdr:nvSpPr>
        <xdr:cNvPr id="47" name="Rectangle: Rounded Corners 46">
          <a:extLst>
            <a:ext uri="{FF2B5EF4-FFF2-40B4-BE49-F238E27FC236}">
              <a16:creationId xmlns:a16="http://schemas.microsoft.com/office/drawing/2014/main" id="{CF93A66D-B2E6-4F04-A853-8DD834F9C8A2}"/>
            </a:ext>
          </a:extLst>
        </xdr:cNvPr>
        <xdr:cNvSpPr/>
      </xdr:nvSpPr>
      <xdr:spPr>
        <a:xfrm>
          <a:off x="34290000" y="190500"/>
          <a:ext cx="8643938" cy="46672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54</xdr:col>
      <xdr:colOff>571500</xdr:colOff>
      <xdr:row>1</xdr:row>
      <xdr:rowOff>71437</xdr:rowOff>
    </xdr:from>
    <xdr:to>
      <xdr:col>68</xdr:col>
      <xdr:colOff>571500</xdr:colOff>
      <xdr:row>18</xdr:row>
      <xdr:rowOff>190500</xdr:rowOff>
    </xdr:to>
    <xdr:sp macro="" textlink="">
      <xdr:nvSpPr>
        <xdr:cNvPr id="51" name="TextBox 50">
          <a:extLst>
            <a:ext uri="{FF2B5EF4-FFF2-40B4-BE49-F238E27FC236}">
              <a16:creationId xmlns:a16="http://schemas.microsoft.com/office/drawing/2014/main" id="{F4F44B0F-AB02-B35D-EA77-CC1D6FB09534}"/>
            </a:ext>
          </a:extLst>
        </xdr:cNvPr>
        <xdr:cNvSpPr txBox="1"/>
      </xdr:nvSpPr>
      <xdr:spPr>
        <a:xfrm>
          <a:off x="34432875" y="381000"/>
          <a:ext cx="8667750" cy="538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Calibri" panose="020F0502020204030204" pitchFamily="34" charset="0"/>
              <a:cs typeface="Calibri" panose="020F0502020204030204" pitchFamily="34" charset="0"/>
            </a:rPr>
            <a:t> </a:t>
          </a:r>
          <a:r>
            <a:rPr lang="en-IN" sz="4000" b="1" u="sng">
              <a:latin typeface="Calibri" panose="020F0502020204030204" pitchFamily="34" charset="0"/>
              <a:cs typeface="Calibri" panose="020F0502020204030204" pitchFamily="34" charset="0"/>
            </a:rPr>
            <a:t>INSIGHTS &amp; RECOMMENDATIONS</a:t>
          </a:r>
        </a:p>
        <a:p>
          <a:endParaRPr lang="en-IN" sz="2400" b="1">
            <a:latin typeface="Calibri" panose="020F0502020204030204" pitchFamily="34" charset="0"/>
            <a:cs typeface="Calibri" panose="020F0502020204030204" pitchFamily="34" charset="0"/>
          </a:endParaRPr>
        </a:p>
        <a:p>
          <a:pPr algn="l"/>
          <a:r>
            <a:rPr lang="en-IN" sz="2800" b="1">
              <a:latin typeface="Calibri" panose="020F0502020204030204" pitchFamily="34" charset="0"/>
              <a:cs typeface="Calibri" panose="020F0502020204030204" pitchFamily="34" charset="0"/>
            </a:rPr>
            <a:t>- Highest screen activity recorded on Tuesday</a:t>
          </a:r>
        </a:p>
        <a:p>
          <a:pPr algn="l"/>
          <a:r>
            <a:rPr lang="en-IN" sz="2800" b="1">
              <a:latin typeface="Calibri" panose="020F0502020204030204" pitchFamily="34" charset="0"/>
              <a:cs typeface="Calibri" panose="020F0502020204030204" pitchFamily="34" charset="0"/>
            </a:rPr>
            <a:t> - Social media apps account for the majority of usage</a:t>
          </a:r>
          <a:br>
            <a:rPr lang="en-IN" sz="2800" b="1">
              <a:latin typeface="Calibri" panose="020F0502020204030204" pitchFamily="34" charset="0"/>
              <a:cs typeface="Calibri" panose="020F0502020204030204" pitchFamily="34" charset="0"/>
            </a:rPr>
          </a:br>
          <a:r>
            <a:rPr lang="en-IN" sz="2800" b="1">
              <a:latin typeface="Calibri" panose="020F0502020204030204" pitchFamily="34" charset="0"/>
              <a:cs typeface="Calibri" panose="020F0502020204030204" pitchFamily="34" charset="0"/>
            </a:rPr>
            <a:t> - Notifications significantly increase device pickups</a:t>
          </a:r>
          <a:br>
            <a:rPr lang="en-IN" sz="2800" b="1">
              <a:latin typeface="Calibri" panose="020F0502020204030204" pitchFamily="34" charset="0"/>
              <a:cs typeface="Calibri" panose="020F0502020204030204" pitchFamily="34" charset="0"/>
            </a:rPr>
          </a:br>
          <a:r>
            <a:rPr lang="en-IN" sz="2800" b="1">
              <a:latin typeface="Calibri" panose="020F0502020204030204" pitchFamily="34" charset="0"/>
              <a:cs typeface="Calibri" panose="020F0502020204030204" pitchFamily="34" charset="0"/>
            </a:rPr>
            <a:t> -</a:t>
          </a:r>
          <a:r>
            <a:rPr lang="en-IN" sz="2800" b="1" baseline="0">
              <a:latin typeface="Calibri" panose="020F0502020204030204" pitchFamily="34" charset="0"/>
              <a:cs typeface="Calibri" panose="020F0502020204030204" pitchFamily="34" charset="0"/>
            </a:rPr>
            <a:t> </a:t>
          </a:r>
          <a:r>
            <a:rPr lang="en-IN" sz="2800" b="1">
              <a:latin typeface="Calibri" panose="020F0502020204030204" pitchFamily="34" charset="0"/>
              <a:cs typeface="Calibri" panose="020F0502020204030204" pitchFamily="34" charset="0"/>
            </a:rPr>
            <a:t>Productivity ratio remains below the optimal range</a:t>
          </a:r>
          <a:br>
            <a:rPr lang="en-IN" sz="2800" b="1">
              <a:latin typeface="Calibri" panose="020F0502020204030204" pitchFamily="34" charset="0"/>
              <a:cs typeface="Calibri" panose="020F0502020204030204" pitchFamily="34" charset="0"/>
            </a:rPr>
          </a:br>
          <a:r>
            <a:rPr lang="en-IN" sz="2800" b="1">
              <a:latin typeface="Calibri" panose="020F0502020204030204" pitchFamily="34" charset="0"/>
              <a:cs typeface="Calibri" panose="020F0502020204030204" pitchFamily="34" charset="0"/>
            </a:rPr>
            <a:t> - Evening hours show peak engagement levels</a:t>
          </a:r>
          <a:br>
            <a:rPr lang="en-IN" sz="2800" b="1">
              <a:latin typeface="Calibri" panose="020F0502020204030204" pitchFamily="34" charset="0"/>
              <a:cs typeface="Calibri" panose="020F0502020204030204" pitchFamily="34" charset="0"/>
            </a:rPr>
          </a:br>
          <a:r>
            <a:rPr lang="en-IN" sz="2800" b="1" baseline="0">
              <a:latin typeface="Calibri" panose="020F0502020204030204" pitchFamily="34" charset="0"/>
              <a:cs typeface="Calibri" panose="020F0502020204030204" pitchFamily="34" charset="0"/>
            </a:rPr>
            <a:t> - </a:t>
          </a:r>
          <a:r>
            <a:rPr lang="en-IN" sz="2800" b="1">
              <a:latin typeface="Calibri" panose="020F0502020204030204" pitchFamily="34" charset="0"/>
              <a:cs typeface="Calibri" panose="020F0502020204030204" pitchFamily="34" charset="0"/>
            </a:rPr>
            <a:t>Reducing entertainment usage may improve focus and    productivity</a:t>
          </a:r>
        </a:p>
        <a:p>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7.972196527779" createdVersion="8" refreshedVersion="8" minRefreshableVersion="3" recordCount="7" xr:uid="{56D945BC-C739-4E08-A728-C1F5CA78B73A}">
  <cacheSource type="worksheet">
    <worksheetSource ref="A4:K11" sheet="Raw Data Table "/>
  </cacheSource>
  <cacheFields count="11">
    <cacheField name="Date" numFmtId="14">
      <sharedItems containsSemiMixedTypes="0" containsNonDate="0" containsDate="1" containsString="0" minDate="2026-05-10T00:00:00" maxDate="2026-05-17T00:00:00" count="7">
        <d v="2026-05-10T00:00:00"/>
        <d v="2026-05-11T00:00:00"/>
        <d v="2026-05-12T00:00:00"/>
        <d v="2026-05-13T00:00:00"/>
        <d v="2026-05-14T00:00:00"/>
        <d v="2026-05-15T00:00:00"/>
        <d v="2026-05-16T00:00:00"/>
      </sharedItems>
    </cacheField>
    <cacheField name="Day" numFmtId="0">
      <sharedItems count="7">
        <s v="Monday"/>
        <s v="Tuesday"/>
        <s v="Wednesday"/>
        <s v="Thursday"/>
        <s v="Friday"/>
        <s v="Saturday"/>
        <s v="Sunday"/>
      </sharedItems>
    </cacheField>
    <cacheField name="Total Screen Time_x000a_(hrs)" numFmtId="166">
      <sharedItems containsSemiMixedTypes="0" containsNonDate="0" containsDate="1" containsString="0" minDate="1899-12-30T05:30:00" maxDate="1899-12-30T10:22:00"/>
    </cacheField>
    <cacheField name="Most Used App_x000a_(App Name)" numFmtId="0">
      <sharedItems count="5">
        <s v="Instagram"/>
        <s v="LinkedIn"/>
        <s v="Google "/>
        <s v="Whatsapp"/>
        <s v="Youtube"/>
      </sharedItems>
    </cacheField>
    <cacheField name="Top App Time_x000a_(hrs)" numFmtId="20">
      <sharedItems containsSemiMixedTypes="0" containsNonDate="0" containsDate="1" containsString="0" minDate="1899-12-30T01:30:00" maxDate="1899-12-30T03:20:00" count="7">
        <d v="1899-12-30T01:47:00"/>
        <d v="1899-12-30T02:35:00"/>
        <d v="1899-12-30T01:30:00"/>
        <d v="1899-12-30T02:10:00"/>
        <d v="1899-12-30T02:20:00"/>
        <d v="1899-12-30T03:20:00"/>
        <d v="1899-12-30T02:05:00"/>
      </sharedItems>
    </cacheField>
    <cacheField name="2nd App" numFmtId="0">
      <sharedItems count="5">
        <s v="Whatsapp"/>
        <s v="Google "/>
        <s v="LinkedIn "/>
        <s v="Youtube"/>
        <s v="Instagram"/>
      </sharedItems>
    </cacheField>
    <cacheField name="2nd App Time_x000a_(hrs)" numFmtId="20">
      <sharedItems containsSemiMixedTypes="0" containsNonDate="0" containsDate="1" containsString="0" minDate="1899-12-30T00:55:00" maxDate="1899-12-30T01:55:00"/>
    </cacheField>
    <cacheField name="Productive Time" numFmtId="164">
      <sharedItems containsSemiMixedTypes="0" containsNonDate="0" containsDate="1" containsString="0" minDate="1899-12-30T01:07:00" maxDate="1899-12-30T04:30:00"/>
    </cacheField>
    <cacheField name="Entertainment Time" numFmtId="20">
      <sharedItems containsSemiMixedTypes="0" containsNonDate="0" containsDate="1" containsString="0" minDate="1899-12-30T00:00:00" maxDate="1899-12-30T03:20:00"/>
    </cacheField>
    <cacheField name="No. of Pickups" numFmtId="0">
      <sharedItems containsSemiMixedTypes="0" containsString="0" containsNumber="1" containsInteger="1" minValue="65" maxValue="90"/>
    </cacheField>
    <cacheField name="Notifications" numFmtId="0">
      <sharedItems containsSemiMixedTypes="0" containsString="0" containsNumber="1" containsInteger="1" minValue="120" maxValue="280"/>
    </cacheField>
  </cacheFields>
  <extLst>
    <ext xmlns:x14="http://schemas.microsoft.com/office/spreadsheetml/2009/9/main" uri="{725AE2AE-9491-48be-B2B4-4EB974FC3084}">
      <x14:pivotCacheDefinition pivotCacheId="16221252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8.881930671298" createdVersion="8" refreshedVersion="8" minRefreshableVersion="3" recordCount="7" xr:uid="{E3A6303B-E45A-42FA-91F7-741C4908AAFB}">
  <cacheSource type="worksheet">
    <worksheetSource ref="H4:I11" sheet="Raw Data Table "/>
  </cacheSource>
  <cacheFields count="4">
    <cacheField name="Productive Time" numFmtId="164">
      <sharedItems containsSemiMixedTypes="0" containsNonDate="0" containsDate="1" containsString="0" minDate="1899-12-30T01:07:00" maxDate="1899-12-30T04:30:00" count="7">
        <d v="1899-12-30T01:40:00"/>
        <d v="1899-12-30T04:30:00"/>
        <d v="1899-12-30T02:25:00"/>
        <d v="1899-12-30T03:20:00"/>
        <d v="1899-12-30T02:20:00"/>
        <d v="1899-12-30T01:07:00"/>
        <d v="1899-12-30T02:05:00"/>
      </sharedItems>
      <fieldGroup par="3"/>
    </cacheField>
    <cacheField name="Entertainment Time" numFmtId="20">
      <sharedItems containsSemiMixedTypes="0" containsNonDate="0" containsDate="1" containsString="0" minDate="1899-12-30T00:00:00" maxDate="1899-12-30T03:20:00"/>
    </cacheField>
    <cacheField name="Minutes (Productive Time)" numFmtId="0" databaseField="0">
      <fieldGroup base="0">
        <rangePr groupBy="minutes" startDate="1899-12-30T01:07:00" endDate="1899-12-30T04:30: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Productive Time)" numFmtId="0" databaseField="0">
      <fieldGroup base="0">
        <rangePr groupBy="hours" startDate="1899-12-30T01:07:00" endDate="1899-12-30T04:3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d v="1899-12-30T06:20:00"/>
    <x v="0"/>
    <x v="0"/>
    <x v="0"/>
    <d v="1899-12-30T01:40:00"/>
    <d v="1899-12-30T01:40:00"/>
    <d v="1899-12-30T01:47:00"/>
    <n v="69"/>
    <n v="187"/>
  </r>
  <r>
    <x v="1"/>
    <x v="1"/>
    <d v="1899-12-30T10:22:00"/>
    <x v="1"/>
    <x v="1"/>
    <x v="1"/>
    <d v="1899-12-30T01:55:00"/>
    <d v="1899-12-30T04:30:00"/>
    <d v="1899-12-30T00:00:00"/>
    <n v="89"/>
    <n v="240"/>
  </r>
  <r>
    <x v="2"/>
    <x v="2"/>
    <d v="1899-12-30T05:30:00"/>
    <x v="2"/>
    <x v="2"/>
    <x v="2"/>
    <d v="1899-12-30T00:55:00"/>
    <d v="1899-12-30T02:25:00"/>
    <d v="1899-12-30T00:00:00"/>
    <n v="65"/>
    <n v="250"/>
  </r>
  <r>
    <x v="3"/>
    <x v="3"/>
    <d v="1899-12-30T07:03:00"/>
    <x v="3"/>
    <x v="3"/>
    <x v="3"/>
    <d v="1899-12-30T01:10:00"/>
    <d v="1899-12-30T03:20:00"/>
    <d v="1899-12-30T01:10:00"/>
    <n v="87"/>
    <n v="120"/>
  </r>
  <r>
    <x v="4"/>
    <x v="4"/>
    <d v="1899-12-30T08:25:00"/>
    <x v="1"/>
    <x v="4"/>
    <x v="4"/>
    <d v="1899-12-30T01:50:00"/>
    <d v="1899-12-30T02:20:00"/>
    <d v="1899-12-30T01:50:00"/>
    <n v="65"/>
    <n v="130"/>
  </r>
  <r>
    <x v="5"/>
    <x v="5"/>
    <d v="1899-12-30T08:09:00"/>
    <x v="0"/>
    <x v="5"/>
    <x v="1"/>
    <d v="1899-12-30T01:07:00"/>
    <d v="1899-12-30T01:07:00"/>
    <d v="1899-12-30T03:20:00"/>
    <n v="73"/>
    <n v="187"/>
  </r>
  <r>
    <x v="6"/>
    <x v="6"/>
    <d v="1899-12-30T06:25:00"/>
    <x v="4"/>
    <x v="6"/>
    <x v="4"/>
    <d v="1899-12-30T01:02:00"/>
    <d v="1899-12-30T02:05:00"/>
    <d v="1899-12-30T01:02:00"/>
    <n v="90"/>
    <n v="2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d v="1899-12-30T01:47:00"/>
  </r>
  <r>
    <x v="1"/>
    <d v="1899-12-30T00:00:00"/>
  </r>
  <r>
    <x v="2"/>
    <d v="1899-12-30T00:00:00"/>
  </r>
  <r>
    <x v="3"/>
    <d v="1899-12-30T01:10:00"/>
  </r>
  <r>
    <x v="4"/>
    <d v="1899-12-30T01:50:00"/>
  </r>
  <r>
    <x v="5"/>
    <d v="1899-12-30T03:20:00"/>
  </r>
  <r>
    <x v="6"/>
    <d v="1899-12-30T01:0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2394BB-16C6-4C0A-B5C7-45AD28D953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5:E23" firstHeaderRow="0" firstDataRow="1" firstDataCol="1"/>
  <pivotFields count="11">
    <pivotField numFmtId="14" showAll="0">
      <items count="8">
        <item x="0"/>
        <item x="1"/>
        <item x="2"/>
        <item x="3"/>
        <item x="4"/>
        <item x="5"/>
        <item x="6"/>
        <item t="default"/>
      </items>
    </pivotField>
    <pivotField axis="axisRow" showAll="0">
      <items count="8">
        <item x="0"/>
        <item x="1"/>
        <item x="2"/>
        <item x="3"/>
        <item x="4"/>
        <item x="5"/>
        <item x="6"/>
        <item t="default"/>
      </items>
    </pivotField>
    <pivotField dataField="1" numFmtId="166" showAll="0"/>
    <pivotField showAll="0">
      <items count="6">
        <item x="2"/>
        <item x="0"/>
        <item x="1"/>
        <item x="3"/>
        <item x="4"/>
        <item t="default"/>
      </items>
    </pivotField>
    <pivotField numFmtId="20" showAll="0"/>
    <pivotField showAll="0"/>
    <pivotField numFmtId="20" showAll="0"/>
    <pivotField dataField="1" numFmtId="164" showAll="0"/>
    <pivotField dataField="1" numFmtId="20" showAll="0"/>
    <pivotField showAll="0"/>
    <pivotField showAll="0"/>
  </pivotFields>
  <rowFields count="1">
    <field x="1"/>
  </rowFields>
  <rowItems count="8">
    <i>
      <x/>
    </i>
    <i>
      <x v="1"/>
    </i>
    <i>
      <x v="2"/>
    </i>
    <i>
      <x v="3"/>
    </i>
    <i>
      <x v="4"/>
    </i>
    <i>
      <x v="5"/>
    </i>
    <i>
      <x v="6"/>
    </i>
    <i t="grand">
      <x/>
    </i>
  </rowItems>
  <colFields count="1">
    <field x="-2"/>
  </colFields>
  <colItems count="3">
    <i>
      <x/>
    </i>
    <i i="1">
      <x v="1"/>
    </i>
    <i i="2">
      <x v="2"/>
    </i>
  </colItems>
  <dataFields count="3">
    <dataField name="Sum of Total Screen Time" fld="2" baseField="1" baseItem="0" numFmtId="166"/>
    <dataField name="Productive Time." fld="7" baseField="1" baseItem="0" numFmtId="164"/>
    <dataField name="Entertainment Time." fld="8" baseField="1" baseItem="0" numFmtId="2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FE898-5651-4462-959B-A9AF916CFF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8:L14" firstHeaderRow="1" firstDataRow="1" firstDataCol="1"/>
  <pivotFields count="11">
    <pivotField numFmtId="14" showAll="0">
      <items count="8">
        <item x="0"/>
        <item x="1"/>
        <item x="2"/>
        <item x="3"/>
        <item x="4"/>
        <item x="5"/>
        <item x="6"/>
        <item t="default"/>
      </items>
    </pivotField>
    <pivotField showAll="0">
      <items count="8">
        <item x="0"/>
        <item x="1"/>
        <item x="2"/>
        <item x="3"/>
        <item x="4"/>
        <item x="5"/>
        <item x="6"/>
        <item t="default"/>
      </items>
    </pivotField>
    <pivotField numFmtId="166" showAll="0"/>
    <pivotField axis="axisRow" showAll="0">
      <items count="6">
        <item x="2"/>
        <item x="0"/>
        <item x="1"/>
        <item x="3"/>
        <item x="4"/>
        <item t="default"/>
      </items>
    </pivotField>
    <pivotField dataField="1" numFmtId="20" showAll="0"/>
    <pivotField showAll="0"/>
    <pivotField numFmtId="20" showAll="0"/>
    <pivotField numFmtId="164" showAll="0"/>
    <pivotField numFmtId="20" showAll="0"/>
    <pivotField showAll="0"/>
    <pivotField showAll="0"/>
  </pivotFields>
  <rowFields count="1">
    <field x="3"/>
  </rowFields>
  <rowItems count="6">
    <i>
      <x/>
    </i>
    <i>
      <x v="1"/>
    </i>
    <i>
      <x v="2"/>
    </i>
    <i>
      <x v="3"/>
    </i>
    <i>
      <x v="4"/>
    </i>
    <i t="grand">
      <x/>
    </i>
  </rowItems>
  <colItems count="1">
    <i/>
  </colItems>
  <dataFields count="1">
    <dataField name="Sum of Top App Time" fld="4" baseField="0" baseItem="1" numFmtId="20"/>
  </dataFields>
  <formats count="2">
    <format dxfId="6">
      <pivotArea collapsedLevelsAreSubtotals="1" fieldPosition="0">
        <references count="1">
          <reference field="3" count="0"/>
        </references>
      </pivotArea>
    </format>
    <format dxfId="5">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6" format="16">
      <pivotArea type="data" outline="0" fieldPosition="0">
        <references count="2">
          <reference field="4294967294" count="1" selected="0">
            <x v="0"/>
          </reference>
          <reference field="3" count="1" selected="0">
            <x v="3"/>
          </reference>
        </references>
      </pivotArea>
    </chartFormat>
    <chartFormat chart="6" format="17">
      <pivotArea type="data" outline="0" fieldPosition="0">
        <references count="2">
          <reference field="4294967294" count="1" selected="0">
            <x v="0"/>
          </reference>
          <reference field="3"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 chart="9" format="11">
      <pivotArea type="data" outline="0" fieldPosition="0">
        <references count="2">
          <reference field="4294967294" count="1" selected="0">
            <x v="0"/>
          </reference>
          <reference field="3"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3" count="1" selected="0">
            <x v="0"/>
          </reference>
        </references>
      </pivotArea>
    </chartFormat>
    <chartFormat chart="10" format="14">
      <pivotArea type="data" outline="0" fieldPosition="0">
        <references count="2">
          <reference field="4294967294" count="1" selected="0">
            <x v="0"/>
          </reference>
          <reference field="3" count="1" selected="0">
            <x v="1"/>
          </reference>
        </references>
      </pivotArea>
    </chartFormat>
    <chartFormat chart="10" format="15">
      <pivotArea type="data" outline="0" fieldPosition="0">
        <references count="2">
          <reference field="4294967294" count="1" selected="0">
            <x v="0"/>
          </reference>
          <reference field="3" count="1" selected="0">
            <x v="2"/>
          </reference>
        </references>
      </pivotArea>
    </chartFormat>
    <chartFormat chart="10" format="16">
      <pivotArea type="data" outline="0" fieldPosition="0">
        <references count="2">
          <reference field="4294967294" count="1" selected="0">
            <x v="0"/>
          </reference>
          <reference field="3" count="1" selected="0">
            <x v="3"/>
          </reference>
        </references>
      </pivotArea>
    </chartFormat>
    <chartFormat chart="10"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C0E7DD-9A35-4A03-84E4-9E549ACFC65D}" name="PivotTable1"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6:B18" firstHeaderRow="1" firstDataRow="1" firstDataCol="1"/>
  <pivotFields count="4">
    <pivotField dataField="1" numFmtId="164" showAll="0" sumSubtotal="1">
      <items count="8">
        <item x="5"/>
        <item x="0"/>
        <item x="6"/>
        <item x="4"/>
        <item x="2"/>
        <item x="3"/>
        <item x="1"/>
        <item t="sum"/>
      </items>
    </pivotField>
    <pivotField dataField="1" numFmtId="20"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sumSubtotal="1">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sum"/>
      </items>
    </pivotField>
  </pivotFields>
  <rowFields count="1">
    <field x="-2"/>
  </rowFields>
  <rowItems count="2">
    <i>
      <x/>
    </i>
    <i i="1">
      <x v="1"/>
    </i>
  </rowItems>
  <colItems count="1">
    <i/>
  </colItems>
  <dataFields count="2">
    <dataField name=" Productive Time" fld="0" baseField="0" baseItem="0" numFmtId="164"/>
    <dataField name=" Entertainment Time" fld="1" baseField="0" baseItem="0" numFmtId="20"/>
  </dataFields>
  <formats count="5">
    <format dxfId="4">
      <pivotArea type="all" dataOnly="0" outline="0" fieldPosition="0"/>
    </format>
    <format dxfId="3">
      <pivotArea outline="0" collapsedLevelsAreSubtotals="1" fieldPosition="0"/>
    </format>
    <format dxfId="2">
      <pivotArea field="0" type="button" dataOnly="0" labelOnly="1" outline="0"/>
    </format>
    <format dxfId="1">
      <pivotArea dataOnly="0" labelOnly="1" grandRow="1" outline="0" fieldPosition="0"/>
    </format>
    <format dxfId="0">
      <pivotArea dataOnly="0" labelOnly="1" outline="0" axis="axisValues"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1">
          <reference field="4294967294" count="1" selected="0">
            <x v="0"/>
          </reference>
        </references>
      </pivotArea>
    </chartFormat>
    <chartFormat chart="12"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44C172-49E8-4775-8B04-CA059CA0C4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6:J24" firstHeaderRow="0" firstDataRow="1" firstDataCol="1"/>
  <pivotFields count="11">
    <pivotField numFmtId="14" showAll="0">
      <items count="8">
        <item x="0"/>
        <item x="1"/>
        <item x="2"/>
        <item x="3"/>
        <item x="4"/>
        <item x="5"/>
        <item x="6"/>
        <item t="default"/>
      </items>
    </pivotField>
    <pivotField axis="axisRow" showAll="0">
      <items count="8">
        <item x="0"/>
        <item x="1"/>
        <item x="2"/>
        <item x="3"/>
        <item x="4"/>
        <item x="5"/>
        <item x="6"/>
        <item t="default"/>
      </items>
    </pivotField>
    <pivotField dataField="1" numFmtId="166" showAll="0"/>
    <pivotField showAll="0">
      <items count="6">
        <item x="2"/>
        <item x="0"/>
        <item x="1"/>
        <item x="3"/>
        <item x="4"/>
        <item t="default"/>
      </items>
    </pivotField>
    <pivotField numFmtId="20" showAll="0"/>
    <pivotField showAll="0"/>
    <pivotField numFmtId="20" showAll="0"/>
    <pivotField numFmtId="164" showAll="0"/>
    <pivotField numFmtId="20" showAll="0"/>
    <pivotField showAll="0"/>
    <pivotField dataField="1" showAll="0"/>
  </pivotFields>
  <rowFields count="1">
    <field x="1"/>
  </rowFields>
  <rowItems count="8">
    <i>
      <x/>
    </i>
    <i>
      <x v="1"/>
    </i>
    <i>
      <x v="2"/>
    </i>
    <i>
      <x v="3"/>
    </i>
    <i>
      <x v="4"/>
    </i>
    <i>
      <x v="5"/>
    </i>
    <i>
      <x v="6"/>
    </i>
    <i t="grand">
      <x/>
    </i>
  </rowItems>
  <colFields count="1">
    <field x="-2"/>
  </colFields>
  <colItems count="2">
    <i>
      <x/>
    </i>
    <i i="1">
      <x v="1"/>
    </i>
  </colItems>
  <dataFields count="2">
    <dataField name="Sum of Total Screen Time" fld="2" baseField="1" baseItem="0" numFmtId="166"/>
    <dataField name="Sum of Notifications" fld="10" baseField="1"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69EFC0-829A-4506-A4A7-99553111CB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4:F12" firstHeaderRow="0" firstDataRow="1" firstDataCol="1"/>
  <pivotFields count="11">
    <pivotField numFmtId="14" showAll="0">
      <items count="8">
        <item x="0"/>
        <item x="1"/>
        <item x="2"/>
        <item x="3"/>
        <item x="4"/>
        <item x="5"/>
        <item x="6"/>
        <item t="default"/>
      </items>
    </pivotField>
    <pivotField axis="axisRow" showAll="0">
      <items count="8">
        <item x="0"/>
        <item x="1"/>
        <item x="2"/>
        <item x="3"/>
        <item x="4"/>
        <item x="5"/>
        <item x="6"/>
        <item t="default"/>
      </items>
    </pivotField>
    <pivotField numFmtId="166" showAll="0"/>
    <pivotField showAll="0">
      <items count="6">
        <item x="2"/>
        <item x="0"/>
        <item x="1"/>
        <item x="3"/>
        <item x="4"/>
        <item t="default"/>
      </items>
    </pivotField>
    <pivotField numFmtId="20" showAll="0"/>
    <pivotField showAll="0">
      <items count="6">
        <item x="1"/>
        <item x="4"/>
        <item x="2"/>
        <item x="0"/>
        <item x="3"/>
        <item t="default"/>
      </items>
    </pivotField>
    <pivotField numFmtId="20" showAll="0"/>
    <pivotField dataField="1" numFmtId="164" showAll="0"/>
    <pivotField dataField="1" numFmtId="20"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 Productive Time" fld="7" baseField="1" baseItem="0" numFmtId="166"/>
    <dataField name=" Entertainment Time" fld="8" baseField="1"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756B2E-A015-4AD1-954B-BFABCF5FCC5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4:B12" firstHeaderRow="1" firstDataRow="1" firstDataCol="1"/>
  <pivotFields count="11">
    <pivotField numFmtId="14" showAll="0">
      <items count="8">
        <item x="0"/>
        <item x="1"/>
        <item x="2"/>
        <item x="3"/>
        <item x="4"/>
        <item x="5"/>
        <item x="6"/>
        <item t="default"/>
      </items>
    </pivotField>
    <pivotField axis="axisRow" showAll="0">
      <items count="8">
        <item x="0"/>
        <item x="1"/>
        <item x="2"/>
        <item x="3"/>
        <item x="4"/>
        <item x="5"/>
        <item x="6"/>
        <item t="default"/>
      </items>
    </pivotField>
    <pivotField dataField="1" numFmtId="166" showAll="0"/>
    <pivotField showAll="0">
      <items count="6">
        <item x="2"/>
        <item x="0"/>
        <item x="1"/>
        <item x="3"/>
        <item x="4"/>
        <item t="default"/>
      </items>
    </pivotField>
    <pivotField numFmtId="20" showAll="0"/>
    <pivotField showAll="0">
      <items count="6">
        <item x="1"/>
        <item x="4"/>
        <item x="2"/>
        <item x="0"/>
        <item x="3"/>
        <item t="default"/>
      </items>
    </pivotField>
    <pivotField numFmtId="20" showAll="0"/>
    <pivotField numFmtId="164" showAll="0"/>
    <pivotField numFmtId="20" showAll="0"/>
    <pivotField showAll="0"/>
    <pivotField showAll="0"/>
  </pivotFields>
  <rowFields count="1">
    <field x="1"/>
  </rowFields>
  <rowItems count="8">
    <i>
      <x/>
    </i>
    <i>
      <x v="1"/>
    </i>
    <i>
      <x v="2"/>
    </i>
    <i>
      <x v="3"/>
    </i>
    <i>
      <x v="4"/>
    </i>
    <i>
      <x v="5"/>
    </i>
    <i>
      <x v="6"/>
    </i>
    <i t="grand">
      <x/>
    </i>
  </rowItems>
  <colItems count="1">
    <i/>
  </colItems>
  <dataFields count="1">
    <dataField name="Daily " fld="2" baseField="1" baseItem="0" numFmtId="166"/>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216C3F-90DF-419B-9DF1-85330EC10C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L5" firstHeaderRow="0" firstDataRow="1" firstDataCol="0"/>
  <pivotFields count="11">
    <pivotField numFmtId="14" showAll="0">
      <items count="8">
        <item x="0"/>
        <item x="1"/>
        <item x="2"/>
        <item x="3"/>
        <item x="4"/>
        <item x="5"/>
        <item x="6"/>
        <item t="default"/>
      </items>
    </pivotField>
    <pivotField showAll="0">
      <items count="8">
        <item x="0"/>
        <item x="1"/>
        <item x="2"/>
        <item x="3"/>
        <item x="4"/>
        <item x="5"/>
        <item x="6"/>
        <item t="default"/>
      </items>
    </pivotField>
    <pivotField dataField="1" numFmtId="166" showAll="0"/>
    <pivotField showAll="0">
      <items count="6">
        <item x="2"/>
        <item x="0"/>
        <item x="1"/>
        <item x="3"/>
        <item x="4"/>
        <item t="default"/>
      </items>
    </pivotField>
    <pivotField numFmtId="20" showAll="0"/>
    <pivotField showAll="0"/>
    <pivotField numFmtId="20" showAll="0"/>
    <pivotField dataField="1" numFmtId="164" showAll="0"/>
    <pivotField numFmtId="20" showAll="0"/>
    <pivotField dataField="1" showAll="0"/>
    <pivotField dataField="1" showAll="0"/>
  </pivotFields>
  <rowItems count="1">
    <i/>
  </rowItems>
  <colFields count="1">
    <field x="-2"/>
  </colFields>
  <colItems count="5">
    <i>
      <x/>
    </i>
    <i i="1">
      <x v="1"/>
    </i>
    <i i="2">
      <x v="2"/>
    </i>
    <i i="3">
      <x v="3"/>
    </i>
    <i i="4">
      <x v="4"/>
    </i>
  </colItems>
  <dataFields count="5">
    <dataField name="Sum of Productive Time" fld="7" baseField="0" baseItem="1" numFmtId="164"/>
    <dataField name="Sum of Total Screen Time" fld="2" baseField="0" baseItem="0" numFmtId="166"/>
    <dataField name="Average of Total Screen Time" fld="2" subtotal="average" baseField="0" baseItem="1" numFmtId="166"/>
    <dataField name="Sum of No. of Pickups" fld="9" baseField="0" baseItem="0"/>
    <dataField name="Sum of Notification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3017536-4D1D-4C37-95ED-33E90602D4A4}" sourceName="Date">
  <pivotTables>
    <pivotTable tabId="2" name="PivotTable10"/>
    <pivotTable tabId="2" name="PivotTable12"/>
    <pivotTable tabId="2" name="PivotTable4"/>
    <pivotTable tabId="2" name="PivotTable8"/>
    <pivotTable tabId="9" name="PivotTable3"/>
    <pivotTable tabId="9" name="PivotTable1"/>
  </pivotTables>
  <data>
    <tabular pivotCacheId="1622125234">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BCF3E088-981C-499A-A1FB-ECA9507BD735}" sourceName="Day">
  <pivotTables>
    <pivotTable tabId="2" name="PivotTable10"/>
    <pivotTable tabId="2" name="PivotTable12"/>
    <pivotTable tabId="2" name="PivotTable4"/>
    <pivotTable tabId="2" name="PivotTable8"/>
    <pivotTable tabId="9" name="PivotTable3"/>
    <pivotTable tabId="9" name="PivotTable1"/>
  </pivotTables>
  <data>
    <tabular pivotCacheId="1622125234">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App__App_Name" xr10:uid="{AE44F781-A17B-41BE-BBD2-069378878ADC}" sourceName="Most Used App_x000a_(App Name)">
  <pivotTables>
    <pivotTable tabId="2" name="PivotTable10"/>
    <pivotTable tabId="2" name="PivotTable12"/>
    <pivotTable tabId="2" name="PivotTable4"/>
    <pivotTable tabId="2" name="PivotTable8"/>
    <pivotTable tabId="9" name="PivotTable3"/>
    <pivotTable tabId="9" name="PivotTable1"/>
  </pivotTables>
  <data>
    <tabular pivotCacheId="1622125234">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A5354352-2F15-4A28-B08A-C88713083D92}" cache="Slicer_Date" caption="Date" rowHeight="468000"/>
  <slicer name="Day 1" xr10:uid="{0A289052-EA63-434F-9338-2A5E7B8E6908}" cache="Slicer_Day" caption="Day" rowHeight="540000"/>
  <slicer name="Most Used App_x000a_(App Name)" xr10:uid="{A066902F-42BB-4EC8-A870-CD2FDFA5C8BA}" cache="Slicer_Most_Used_App__App_Name" caption="Most Used App_x000a_(App Name)"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F6B9E-AF60-4638-A3D0-96818E8519AF}">
  <sheetPr codeName="Sheet1"/>
  <dimension ref="A1:AO14"/>
  <sheetViews>
    <sheetView tabSelected="1" zoomScale="122" zoomScaleNormal="122" workbookViewId="0">
      <selection activeCell="H18" sqref="H18"/>
    </sheetView>
  </sheetViews>
  <sheetFormatPr defaultRowHeight="14.4" x14ac:dyDescent="0.3"/>
  <cols>
    <col min="1" max="1" width="10.6640625" bestFit="1" customWidth="1"/>
    <col min="2" max="2" width="11.21875" style="3" bestFit="1" customWidth="1"/>
    <col min="3" max="3" width="13.88671875" bestFit="1" customWidth="1"/>
    <col min="4" max="4" width="15.77734375" bestFit="1" customWidth="1"/>
    <col min="5" max="5" width="9.6640625" bestFit="1" customWidth="1"/>
    <col min="6" max="6" width="9.21875" bestFit="1" customWidth="1"/>
    <col min="7" max="7" width="9.5546875" bestFit="1" customWidth="1"/>
    <col min="8" max="8" width="12" customWidth="1"/>
    <col min="9" max="9" width="15.44140625" bestFit="1" customWidth="1"/>
    <col min="10" max="10" width="12.5546875" bestFit="1" customWidth="1"/>
    <col min="11" max="11" width="13.21875" bestFit="1" customWidth="1"/>
  </cols>
  <sheetData>
    <row r="1" spans="1:41" ht="18" customHeight="1" thickBot="1" x14ac:dyDescent="0.35">
      <c r="A1" s="52" t="s">
        <v>0</v>
      </c>
      <c r="B1" s="53"/>
      <c r="C1" s="53"/>
      <c r="D1" s="53"/>
      <c r="E1" s="53"/>
      <c r="F1" s="53"/>
      <c r="G1" s="53"/>
      <c r="H1" s="53"/>
      <c r="I1" s="53"/>
      <c r="J1" s="53"/>
      <c r="K1" s="54"/>
    </row>
    <row r="2" spans="1:41" ht="15" customHeight="1" thickBot="1" x14ac:dyDescent="0.35">
      <c r="A2" s="55"/>
      <c r="B2" s="56"/>
      <c r="C2" s="56"/>
      <c r="D2" s="56"/>
      <c r="E2" s="56"/>
      <c r="F2" s="56"/>
      <c r="G2" s="56"/>
      <c r="H2" s="56"/>
      <c r="I2" s="56"/>
      <c r="J2" s="56"/>
      <c r="K2" s="57"/>
    </row>
    <row r="3" spans="1:41" ht="15" thickBot="1" x14ac:dyDescent="0.35">
      <c r="A3" s="1"/>
      <c r="B3" s="2"/>
      <c r="C3" s="4"/>
      <c r="D3" s="4"/>
      <c r="E3" s="4"/>
      <c r="F3" s="4"/>
      <c r="G3" s="4"/>
      <c r="H3" s="4"/>
      <c r="I3" s="5"/>
      <c r="J3" s="4"/>
      <c r="K3" s="4"/>
    </row>
    <row r="4" spans="1:41" ht="42" thickBot="1" x14ac:dyDescent="0.35">
      <c r="A4" s="19" t="s">
        <v>1</v>
      </c>
      <c r="B4" s="20" t="s">
        <v>2</v>
      </c>
      <c r="C4" s="21" t="s">
        <v>3</v>
      </c>
      <c r="D4" s="21" t="s">
        <v>4</v>
      </c>
      <c r="E4" s="21" t="s">
        <v>5</v>
      </c>
      <c r="F4" s="21" t="s">
        <v>6</v>
      </c>
      <c r="G4" s="21" t="s">
        <v>7</v>
      </c>
      <c r="H4" s="22" t="s">
        <v>20</v>
      </c>
      <c r="I4" s="23" t="s">
        <v>21</v>
      </c>
      <c r="J4" s="21" t="s">
        <v>8</v>
      </c>
      <c r="K4" s="21" t="s">
        <v>18</v>
      </c>
    </row>
    <row r="5" spans="1:41" ht="15" thickBot="1" x14ac:dyDescent="0.35">
      <c r="A5" s="24">
        <v>46152</v>
      </c>
      <c r="B5" s="25" t="s">
        <v>9</v>
      </c>
      <c r="C5" s="26">
        <v>0.2638888888888889</v>
      </c>
      <c r="D5" s="27" t="s">
        <v>16</v>
      </c>
      <c r="E5" s="28">
        <v>7.4305555555555555E-2</v>
      </c>
      <c r="F5" s="27" t="s">
        <v>17</v>
      </c>
      <c r="G5" s="28">
        <v>6.9444444444444448E-2</v>
      </c>
      <c r="H5" s="29">
        <v>6.9444444444444448E-2</v>
      </c>
      <c r="I5" s="28">
        <v>7.4305555555555555E-2</v>
      </c>
      <c r="J5" s="27">
        <v>69</v>
      </c>
      <c r="K5" s="27">
        <v>187</v>
      </c>
    </row>
    <row r="6" spans="1:41" ht="15" thickBot="1" x14ac:dyDescent="0.35">
      <c r="A6" s="24">
        <v>46153</v>
      </c>
      <c r="B6" s="25" t="s">
        <v>10</v>
      </c>
      <c r="C6" s="26">
        <v>0.43194444444444446</v>
      </c>
      <c r="D6" s="27" t="s">
        <v>25</v>
      </c>
      <c r="E6" s="28">
        <v>0.1076388888888889</v>
      </c>
      <c r="F6" s="27" t="s">
        <v>19</v>
      </c>
      <c r="G6" s="28">
        <v>7.9861111111111105E-2</v>
      </c>
      <c r="H6" s="29">
        <f>SUM(E6,G6)</f>
        <v>0.1875</v>
      </c>
      <c r="I6" s="28">
        <v>0</v>
      </c>
      <c r="J6" s="27">
        <v>89</v>
      </c>
      <c r="K6" s="27">
        <v>240</v>
      </c>
    </row>
    <row r="7" spans="1:41" ht="15" thickBot="1" x14ac:dyDescent="0.35">
      <c r="A7" s="24">
        <v>46154</v>
      </c>
      <c r="B7" s="25" t="s">
        <v>11</v>
      </c>
      <c r="C7" s="26">
        <v>0.22916666666666666</v>
      </c>
      <c r="D7" s="27" t="s">
        <v>19</v>
      </c>
      <c r="E7" s="28">
        <v>6.25E-2</v>
      </c>
      <c r="F7" s="27" t="s">
        <v>26</v>
      </c>
      <c r="G7" s="28">
        <v>3.8194444444444448E-2</v>
      </c>
      <c r="H7" s="29">
        <f>SUM(E7,G7)</f>
        <v>0.10069444444444445</v>
      </c>
      <c r="I7" s="28">
        <v>0</v>
      </c>
      <c r="J7" s="27">
        <v>65</v>
      </c>
      <c r="K7" s="27">
        <v>250</v>
      </c>
    </row>
    <row r="8" spans="1:41" ht="15" thickBot="1" x14ac:dyDescent="0.35">
      <c r="A8" s="24">
        <v>46155</v>
      </c>
      <c r="B8" s="25" t="s">
        <v>12</v>
      </c>
      <c r="C8" s="26">
        <v>0.29375000000000001</v>
      </c>
      <c r="D8" s="27" t="s">
        <v>17</v>
      </c>
      <c r="E8" s="28">
        <v>9.0277777777777776E-2</v>
      </c>
      <c r="F8" s="27" t="s">
        <v>22</v>
      </c>
      <c r="G8" s="28">
        <v>4.8611111111111112E-2</v>
      </c>
      <c r="H8" s="29">
        <f>SUM(E8,G8)</f>
        <v>0.1388888888888889</v>
      </c>
      <c r="I8" s="28">
        <v>4.8611111111111112E-2</v>
      </c>
      <c r="J8" s="27">
        <v>87</v>
      </c>
      <c r="K8" s="27">
        <v>120</v>
      </c>
    </row>
    <row r="9" spans="1:41" ht="15" thickBot="1" x14ac:dyDescent="0.35">
      <c r="A9" s="24">
        <v>46156</v>
      </c>
      <c r="B9" s="25" t="s">
        <v>13</v>
      </c>
      <c r="C9" s="26">
        <v>0.35069444444444442</v>
      </c>
      <c r="D9" s="27" t="s">
        <v>25</v>
      </c>
      <c r="E9" s="28">
        <v>9.7222222222222224E-2</v>
      </c>
      <c r="F9" s="27" t="s">
        <v>16</v>
      </c>
      <c r="G9" s="28">
        <v>7.6388888888888895E-2</v>
      </c>
      <c r="H9" s="29">
        <v>9.7222222222222224E-2</v>
      </c>
      <c r="I9" s="28">
        <v>7.6388888888888895E-2</v>
      </c>
      <c r="J9" s="27">
        <v>65</v>
      </c>
      <c r="K9" s="27">
        <v>130</v>
      </c>
    </row>
    <row r="10" spans="1:41" ht="15" thickBot="1" x14ac:dyDescent="0.35">
      <c r="A10" s="24">
        <v>46157</v>
      </c>
      <c r="B10" s="25" t="s">
        <v>14</v>
      </c>
      <c r="C10" s="26">
        <v>0.33958333333333335</v>
      </c>
      <c r="D10" s="27" t="s">
        <v>16</v>
      </c>
      <c r="E10" s="28">
        <v>0.1388888888888889</v>
      </c>
      <c r="F10" s="27" t="s">
        <v>19</v>
      </c>
      <c r="G10" s="28">
        <v>4.6527777777777779E-2</v>
      </c>
      <c r="H10" s="29">
        <v>4.6527777777777779E-2</v>
      </c>
      <c r="I10" s="28">
        <v>0.1388888888888889</v>
      </c>
      <c r="J10" s="27">
        <v>73</v>
      </c>
      <c r="K10" s="27">
        <v>187</v>
      </c>
    </row>
    <row r="11" spans="1:41" ht="15" thickBot="1" x14ac:dyDescent="0.35">
      <c r="A11" s="24">
        <v>46158</v>
      </c>
      <c r="B11" s="25" t="s">
        <v>15</v>
      </c>
      <c r="C11" s="26">
        <v>0.2673611111111111</v>
      </c>
      <c r="D11" s="27" t="s">
        <v>22</v>
      </c>
      <c r="E11" s="28">
        <v>8.6805555555555552E-2</v>
      </c>
      <c r="F11" s="27" t="s">
        <v>16</v>
      </c>
      <c r="G11" s="28">
        <v>4.3055555555555555E-2</v>
      </c>
      <c r="H11" s="29">
        <v>8.6805555555555552E-2</v>
      </c>
      <c r="I11" s="28">
        <v>4.3055555555555555E-2</v>
      </c>
      <c r="J11" s="27">
        <v>90</v>
      </c>
      <c r="K11" s="27">
        <v>280</v>
      </c>
    </row>
    <row r="12" spans="1:41" ht="15" thickBot="1" x14ac:dyDescent="0.35">
      <c r="A12" s="1"/>
      <c r="B12" s="2"/>
      <c r="C12" s="4"/>
      <c r="D12" s="4"/>
      <c r="E12" s="4"/>
      <c r="F12" s="4"/>
      <c r="G12" s="4"/>
      <c r="H12" s="6"/>
      <c r="I12" s="4"/>
      <c r="J12" s="4"/>
      <c r="K12" s="4"/>
    </row>
    <row r="13" spans="1:41" s="11" customFormat="1" ht="28.8" customHeight="1" thickBot="1" x14ac:dyDescent="0.35">
      <c r="A13" s="58" t="s">
        <v>23</v>
      </c>
      <c r="B13" s="59"/>
      <c r="C13" s="7">
        <f>SUM(C5:C11)</f>
        <v>2.1763888888888889</v>
      </c>
      <c r="D13" s="8"/>
      <c r="E13" s="9">
        <f>SUM(E5:E11)</f>
        <v>0.65763888888888888</v>
      </c>
      <c r="F13" s="8"/>
      <c r="G13" s="9">
        <f>SUM(G5:G11)</f>
        <v>0.40208333333333335</v>
      </c>
      <c r="H13" s="10">
        <f>SUM(H5:H11)</f>
        <v>0.7270833333333333</v>
      </c>
      <c r="I13" s="9">
        <f>SUM(I5:I11)</f>
        <v>0.38125000000000003</v>
      </c>
      <c r="J13" s="8">
        <f>SUM(J5:J11)</f>
        <v>538</v>
      </c>
      <c r="K13" s="8">
        <f>SUM(K5:K11)</f>
        <v>1394</v>
      </c>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row>
    <row r="14" spans="1:41" s="13" customFormat="1" ht="15" thickBot="1" x14ac:dyDescent="0.35">
      <c r="A14" s="13" t="s">
        <v>24</v>
      </c>
      <c r="C14" s="14">
        <f>AVERAGE(C5:C11)</f>
        <v>0.31091269841269842</v>
      </c>
      <c r="E14" s="15">
        <f>AVERAGE(E5:E11)</f>
        <v>9.3948412698412698E-2</v>
      </c>
      <c r="G14" s="15">
        <f>AVERAGE(G5:G11)</f>
        <v>5.7440476190476195E-2</v>
      </c>
      <c r="H14" s="16">
        <f>AVERAGE(H5:H11)</f>
        <v>0.10386904761904761</v>
      </c>
      <c r="I14" s="15">
        <f>AVERAGE(I5:I11)</f>
        <v>5.4464285714285722E-2</v>
      </c>
      <c r="J14" s="13">
        <f>ROUND(AVERAGE(J5:J11),0)</f>
        <v>77</v>
      </c>
      <c r="K14" s="12">
        <f>ROUND(AVERAGE(K5:K11),0)</f>
        <v>199</v>
      </c>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row>
  </sheetData>
  <mergeCells count="3">
    <mergeCell ref="A1:K1"/>
    <mergeCell ref="A2:K2"/>
    <mergeCell ref="A13:B13"/>
  </mergeCells>
  <phoneticPr fontId="7" type="noConversion"/>
  <conditionalFormatting sqref="C4:C11">
    <cfRule type="colorScale" priority="5">
      <colorScale>
        <cfvo type="min"/>
        <cfvo type="max"/>
        <color rgb="FFFCFCFF"/>
        <color rgb="FFF8696B"/>
      </colorScale>
    </cfRule>
  </conditionalFormatting>
  <conditionalFormatting sqref="E5:E11">
    <cfRule type="colorScale" priority="3">
      <colorScale>
        <cfvo type="min"/>
        <cfvo type="max"/>
        <color rgb="FFFCFCFF"/>
        <color rgb="FFF8696B"/>
      </colorScale>
    </cfRule>
  </conditionalFormatting>
  <conditionalFormatting sqref="G5:G11">
    <cfRule type="colorScale" priority="1">
      <colorScale>
        <cfvo type="min"/>
        <cfvo type="max"/>
        <color rgb="FFFCFCFF"/>
        <color rgb="FFF8696B"/>
      </colorScale>
    </cfRule>
  </conditionalFormatting>
  <conditionalFormatting sqref="H5:H11">
    <cfRule type="colorScale" priority="4">
      <colorScale>
        <cfvo type="min"/>
        <cfvo type="max"/>
        <color rgb="FFFCFCFF"/>
        <color rgb="FFF8696B"/>
      </colorScale>
    </cfRule>
  </conditionalFormatting>
  <conditionalFormatting sqref="I5:I11">
    <cfRule type="colorScale" priority="2">
      <colorScale>
        <cfvo type="min"/>
        <cfvo type="max"/>
        <color rgb="FFFCFCFF"/>
        <color rgb="FFF8696B"/>
      </colorScale>
    </cfRule>
  </conditionalFormatting>
  <pageMargins left="0.7" right="0.7" top="0.75" bottom="0.75" header="0.3" footer="0.3"/>
  <pageSetup orientation="portrait" r:id="rId1"/>
  <ignoredErrors>
    <ignoredError sqref="J1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EEC88-E8D6-4177-A01D-C63E8294AFBD}">
  <sheetPr codeName="Sheet2"/>
  <dimension ref="B7:L23"/>
  <sheetViews>
    <sheetView workbookViewId="0">
      <selection activeCell="E28" sqref="E28"/>
    </sheetView>
  </sheetViews>
  <sheetFormatPr defaultRowHeight="14.4" x14ac:dyDescent="0.3"/>
  <cols>
    <col min="2" max="2" width="33.88671875" bestFit="1" customWidth="1"/>
    <col min="4" max="4" width="10.5546875" bestFit="1" customWidth="1"/>
    <col min="5" max="5" width="22" bestFit="1" customWidth="1"/>
    <col min="6" max="6" width="15.109375" bestFit="1" customWidth="1"/>
    <col min="7" max="7" width="18.109375" bestFit="1" customWidth="1"/>
    <col min="11" max="11" width="10.5546875" bestFit="1" customWidth="1"/>
    <col min="12" max="12" width="18.33203125" bestFit="1" customWidth="1"/>
  </cols>
  <sheetData>
    <row r="7" spans="2:12" x14ac:dyDescent="0.3">
      <c r="L7" s="46"/>
    </row>
    <row r="8" spans="2:12" x14ac:dyDescent="0.3">
      <c r="K8" s="30" t="s">
        <v>27</v>
      </c>
      <c r="L8" s="46" t="s">
        <v>46</v>
      </c>
    </row>
    <row r="9" spans="2:12" x14ac:dyDescent="0.3">
      <c r="K9" s="3" t="s">
        <v>19</v>
      </c>
      <c r="L9" s="46">
        <v>6.25E-2</v>
      </c>
    </row>
    <row r="10" spans="2:12" x14ac:dyDescent="0.3">
      <c r="K10" s="3" t="s">
        <v>16</v>
      </c>
      <c r="L10" s="46">
        <v>0.21319444444444446</v>
      </c>
    </row>
    <row r="11" spans="2:12" x14ac:dyDescent="0.3">
      <c r="K11" s="3" t="s">
        <v>25</v>
      </c>
      <c r="L11" s="46">
        <v>0.2048611111111111</v>
      </c>
    </row>
    <row r="12" spans="2:12" x14ac:dyDescent="0.3">
      <c r="K12" s="3" t="s">
        <v>17</v>
      </c>
      <c r="L12" s="46">
        <v>9.0277777777777776E-2</v>
      </c>
    </row>
    <row r="13" spans="2:12" x14ac:dyDescent="0.3">
      <c r="K13" s="3" t="s">
        <v>22</v>
      </c>
      <c r="L13" s="46">
        <v>8.6805555555555552E-2</v>
      </c>
    </row>
    <row r="14" spans="2:12" ht="23.4" x14ac:dyDescent="0.3">
      <c r="B14" s="41" t="s">
        <v>47</v>
      </c>
      <c r="K14" s="44" t="s">
        <v>28</v>
      </c>
      <c r="L14" s="33">
        <v>0.65763888888888888</v>
      </c>
    </row>
    <row r="15" spans="2:12" x14ac:dyDescent="0.3">
      <c r="B15" s="30" t="s">
        <v>27</v>
      </c>
      <c r="C15" t="s">
        <v>29</v>
      </c>
      <c r="D15" t="s">
        <v>44</v>
      </c>
      <c r="E15" t="s">
        <v>43</v>
      </c>
    </row>
    <row r="16" spans="2:12" x14ac:dyDescent="0.3">
      <c r="B16" s="3" t="s">
        <v>9</v>
      </c>
      <c r="C16" s="31">
        <v>0.2638888888888889</v>
      </c>
      <c r="D16" s="36">
        <v>6.9444444444444448E-2</v>
      </c>
      <c r="E16" s="33">
        <v>7.4305555555555555E-2</v>
      </c>
    </row>
    <row r="17" spans="2:5" x14ac:dyDescent="0.3">
      <c r="B17" s="3" t="s">
        <v>10</v>
      </c>
      <c r="C17" s="31">
        <v>0.43194444444444446</v>
      </c>
      <c r="D17" s="36">
        <v>0.1875</v>
      </c>
      <c r="E17" s="33">
        <v>0</v>
      </c>
    </row>
    <row r="18" spans="2:5" x14ac:dyDescent="0.3">
      <c r="B18" s="3" t="s">
        <v>11</v>
      </c>
      <c r="C18" s="31">
        <v>0.22916666666666666</v>
      </c>
      <c r="D18" s="36">
        <v>0.10069444444444445</v>
      </c>
      <c r="E18" s="33">
        <v>0</v>
      </c>
    </row>
    <row r="19" spans="2:5" x14ac:dyDescent="0.3">
      <c r="B19" s="3" t="s">
        <v>12</v>
      </c>
      <c r="C19" s="31">
        <v>0.29375000000000001</v>
      </c>
      <c r="D19" s="36">
        <v>0.1388888888888889</v>
      </c>
      <c r="E19" s="33">
        <v>4.8611111111111112E-2</v>
      </c>
    </row>
    <row r="20" spans="2:5" x14ac:dyDescent="0.3">
      <c r="B20" s="3" t="s">
        <v>13</v>
      </c>
      <c r="C20" s="31">
        <v>0.35069444444444442</v>
      </c>
      <c r="D20" s="36">
        <v>9.7222222222222224E-2</v>
      </c>
      <c r="E20" s="33">
        <v>7.6388888888888895E-2</v>
      </c>
    </row>
    <row r="21" spans="2:5" x14ac:dyDescent="0.3">
      <c r="B21" s="3" t="s">
        <v>14</v>
      </c>
      <c r="C21" s="31">
        <v>0.33958333333333335</v>
      </c>
      <c r="D21" s="36">
        <v>4.6527777777777779E-2</v>
      </c>
      <c r="E21" s="33">
        <v>0.1388888888888889</v>
      </c>
    </row>
    <row r="22" spans="2:5" x14ac:dyDescent="0.3">
      <c r="B22" s="3" t="s">
        <v>15</v>
      </c>
      <c r="C22" s="31">
        <v>0.2673611111111111</v>
      </c>
      <c r="D22" s="36">
        <v>8.6805555555555552E-2</v>
      </c>
      <c r="E22" s="33">
        <v>4.3055555555555555E-2</v>
      </c>
    </row>
    <row r="23" spans="2:5" x14ac:dyDescent="0.3">
      <c r="B23" s="44" t="s">
        <v>28</v>
      </c>
      <c r="C23" s="31">
        <v>2.1763888888888889</v>
      </c>
      <c r="D23" s="36">
        <v>0.7270833333333333</v>
      </c>
      <c r="E23" s="33">
        <v>0.38125000000000003</v>
      </c>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C033-3A75-4411-93D2-0BFCD523D7C5}">
  <sheetPr codeName="Sheet3"/>
  <dimension ref="A2:L24"/>
  <sheetViews>
    <sheetView zoomScale="91" zoomScaleNormal="91" workbookViewId="0">
      <selection activeCell="R1" sqref="R1:R1048576"/>
    </sheetView>
  </sheetViews>
  <sheetFormatPr defaultRowHeight="14.4" x14ac:dyDescent="0.3"/>
  <cols>
    <col min="1" max="1" width="11" bestFit="1" customWidth="1"/>
    <col min="2" max="2" width="6.109375" bestFit="1" customWidth="1"/>
    <col min="3" max="3" width="5" bestFit="1" customWidth="1"/>
    <col min="4" max="4" width="11" bestFit="1" customWidth="1"/>
    <col min="5" max="5" width="15.44140625" bestFit="1" customWidth="1"/>
    <col min="6" max="6" width="18.5546875" bestFit="1" customWidth="1"/>
    <col min="7" max="7" width="5" bestFit="1" customWidth="1"/>
    <col min="8" max="8" width="21.5546875" bestFit="1" customWidth="1"/>
    <col min="9" max="9" width="23.109375" bestFit="1" customWidth="1"/>
    <col min="10" max="10" width="26.21875" bestFit="1" customWidth="1"/>
    <col min="11" max="11" width="19.88671875" bestFit="1" customWidth="1"/>
    <col min="12" max="12" width="18.44140625" bestFit="1" customWidth="1"/>
    <col min="13" max="13" width="11.21875" bestFit="1" customWidth="1"/>
    <col min="14" max="14" width="9" bestFit="1" customWidth="1"/>
    <col min="15" max="15" width="6.33203125" bestFit="1" customWidth="1"/>
    <col min="16" max="16" width="8.6640625" bestFit="1" customWidth="1"/>
    <col min="17" max="17" width="7.44140625" bestFit="1" customWidth="1"/>
    <col min="18" max="18" width="11" bestFit="1" customWidth="1"/>
  </cols>
  <sheetData>
    <row r="2" spans="1:12" x14ac:dyDescent="0.3">
      <c r="A2" t="s">
        <v>31</v>
      </c>
      <c r="D2" t="s">
        <v>33</v>
      </c>
    </row>
    <row r="3" spans="1:12" x14ac:dyDescent="0.3">
      <c r="H3" s="60" t="s">
        <v>41</v>
      </c>
      <c r="I3" s="60"/>
      <c r="J3" s="60"/>
      <c r="K3" s="60"/>
      <c r="L3" s="60"/>
    </row>
    <row r="4" spans="1:12" x14ac:dyDescent="0.3">
      <c r="A4" s="30" t="s">
        <v>27</v>
      </c>
      <c r="B4" t="s">
        <v>42</v>
      </c>
      <c r="D4" s="30" t="s">
        <v>27</v>
      </c>
      <c r="E4" t="s">
        <v>35</v>
      </c>
      <c r="F4" t="s">
        <v>36</v>
      </c>
      <c r="H4" t="s">
        <v>32</v>
      </c>
      <c r="I4" t="s">
        <v>29</v>
      </c>
      <c r="J4" t="s">
        <v>40</v>
      </c>
      <c r="K4" t="s">
        <v>38</v>
      </c>
      <c r="L4" t="s">
        <v>39</v>
      </c>
    </row>
    <row r="5" spans="1:12" x14ac:dyDescent="0.3">
      <c r="A5" s="3" t="s">
        <v>9</v>
      </c>
      <c r="B5" s="31">
        <v>0.2638888888888889</v>
      </c>
      <c r="D5" s="3" t="s">
        <v>9</v>
      </c>
      <c r="E5" s="31">
        <v>6.9444444444444448E-2</v>
      </c>
      <c r="F5" s="31">
        <v>7.4305555555555555E-2</v>
      </c>
      <c r="H5" s="36">
        <v>0.7270833333333333</v>
      </c>
      <c r="I5" s="31">
        <v>2.1763888888888889</v>
      </c>
      <c r="J5" s="31">
        <v>0.31091269841269842</v>
      </c>
      <c r="K5">
        <v>538</v>
      </c>
      <c r="L5">
        <v>1394</v>
      </c>
    </row>
    <row r="6" spans="1:12" x14ac:dyDescent="0.3">
      <c r="A6" s="3" t="s">
        <v>10</v>
      </c>
      <c r="B6" s="31">
        <v>0.43194444444444446</v>
      </c>
      <c r="D6" s="3" t="s">
        <v>10</v>
      </c>
      <c r="E6" s="31">
        <v>0.1875</v>
      </c>
      <c r="F6" s="31">
        <v>0</v>
      </c>
    </row>
    <row r="7" spans="1:12" x14ac:dyDescent="0.3">
      <c r="A7" s="3" t="s">
        <v>11</v>
      </c>
      <c r="B7" s="31">
        <v>0.22916666666666666</v>
      </c>
      <c r="D7" s="3" t="s">
        <v>11</v>
      </c>
      <c r="E7" s="31">
        <v>0.10069444444444445</v>
      </c>
      <c r="F7" s="31">
        <v>0</v>
      </c>
      <c r="H7" s="31">
        <f>GETPIVOTDATA("Sum of Productive Time",$H$4)</f>
        <v>0.7270833333333333</v>
      </c>
      <c r="I7" s="31">
        <f>GETPIVOTDATA("Sum of Total Screen Time",$H$4)</f>
        <v>2.1763888888888889</v>
      </c>
      <c r="J7" s="33">
        <f>GETPIVOTDATA("Average of Total Screen Time",$H$4)</f>
        <v>0.31091269841269842</v>
      </c>
      <c r="K7">
        <f>GETPIVOTDATA("Sum of No. of Pickups",$H$4)</f>
        <v>538</v>
      </c>
      <c r="L7">
        <f>GETPIVOTDATA("Sum of Notifications",$H$4)</f>
        <v>1394</v>
      </c>
    </row>
    <row r="8" spans="1:12" x14ac:dyDescent="0.3">
      <c r="A8" s="3" t="s">
        <v>12</v>
      </c>
      <c r="B8" s="31">
        <v>0.29375000000000001</v>
      </c>
      <c r="D8" s="3" t="s">
        <v>12</v>
      </c>
      <c r="E8" s="31">
        <v>0.1388888888888889</v>
      </c>
      <c r="F8" s="31">
        <v>4.8611111111111112E-2</v>
      </c>
    </row>
    <row r="9" spans="1:12" x14ac:dyDescent="0.3">
      <c r="A9" s="3" t="s">
        <v>13</v>
      </c>
      <c r="B9" s="31">
        <v>0.35069444444444442</v>
      </c>
      <c r="D9" s="3" t="s">
        <v>13</v>
      </c>
      <c r="E9" s="31">
        <v>9.7222222222222224E-2</v>
      </c>
      <c r="F9" s="31">
        <v>7.6388888888888895E-2</v>
      </c>
      <c r="H9" s="40">
        <f>'Raw Data Table '!C13/'Raw Data Table '!H13</f>
        <v>2.9933142311365808</v>
      </c>
    </row>
    <row r="10" spans="1:12" x14ac:dyDescent="0.3">
      <c r="A10" s="3" t="s">
        <v>14</v>
      </c>
      <c r="B10" s="31">
        <v>0.33958333333333335</v>
      </c>
      <c r="D10" s="3" t="s">
        <v>14</v>
      </c>
      <c r="E10" s="31">
        <v>4.6527777777777779E-2</v>
      </c>
      <c r="F10" s="31">
        <v>0.1388888888888889</v>
      </c>
      <c r="H10" s="40">
        <f>'Raw Data Table '!H13/'Raw Data Table '!C13</f>
        <v>0.33407785577536692</v>
      </c>
    </row>
    <row r="11" spans="1:12" x14ac:dyDescent="0.3">
      <c r="A11" s="3" t="s">
        <v>15</v>
      </c>
      <c r="B11" s="31">
        <v>0.2673611111111111</v>
      </c>
      <c r="D11" s="3" t="s">
        <v>15</v>
      </c>
      <c r="E11" s="31">
        <v>8.6805555555555552E-2</v>
      </c>
      <c r="F11" s="31">
        <v>4.3055555555555555E-2</v>
      </c>
    </row>
    <row r="12" spans="1:12" x14ac:dyDescent="0.3">
      <c r="A12" s="44" t="s">
        <v>28</v>
      </c>
      <c r="B12" s="31">
        <v>2.1763888888888889</v>
      </c>
      <c r="D12" s="44" t="s">
        <v>28</v>
      </c>
      <c r="E12" s="31">
        <v>0.7270833333333333</v>
      </c>
      <c r="F12" s="31">
        <v>0.38125000000000003</v>
      </c>
    </row>
    <row r="15" spans="1:12" x14ac:dyDescent="0.3">
      <c r="A15" s="3" t="s">
        <v>37</v>
      </c>
      <c r="D15" s="42" t="s">
        <v>45</v>
      </c>
    </row>
    <row r="16" spans="1:12" x14ac:dyDescent="0.3">
      <c r="A16" s="34" t="s">
        <v>34</v>
      </c>
      <c r="B16" s="31"/>
      <c r="D16" s="37">
        <v>69</v>
      </c>
      <c r="E16">
        <v>187</v>
      </c>
      <c r="H16" s="30" t="s">
        <v>27</v>
      </c>
      <c r="I16" t="s">
        <v>29</v>
      </c>
      <c r="J16" t="s">
        <v>39</v>
      </c>
    </row>
    <row r="17" spans="1:10" x14ac:dyDescent="0.3">
      <c r="A17" s="35" t="s">
        <v>35</v>
      </c>
      <c r="B17" s="31">
        <v>0.7270833333333333</v>
      </c>
      <c r="D17" s="37">
        <v>89</v>
      </c>
      <c r="E17">
        <v>240</v>
      </c>
      <c r="H17" s="3" t="s">
        <v>9</v>
      </c>
      <c r="I17" s="31">
        <v>0.2638888888888889</v>
      </c>
      <c r="J17">
        <v>187</v>
      </c>
    </row>
    <row r="18" spans="1:10" x14ac:dyDescent="0.3">
      <c r="A18" s="35" t="s">
        <v>36</v>
      </c>
      <c r="B18" s="31">
        <v>0.38125000000000003</v>
      </c>
      <c r="D18" s="37">
        <v>65</v>
      </c>
      <c r="E18">
        <v>250</v>
      </c>
      <c r="H18" s="3" t="s">
        <v>10</v>
      </c>
      <c r="I18" s="31">
        <v>0.43194444444444446</v>
      </c>
      <c r="J18">
        <v>240</v>
      </c>
    </row>
    <row r="19" spans="1:10" x14ac:dyDescent="0.3">
      <c r="D19" s="37">
        <v>87</v>
      </c>
      <c r="E19">
        <v>120</v>
      </c>
      <c r="H19" s="3" t="s">
        <v>11</v>
      </c>
      <c r="I19" s="31">
        <v>0.22916666666666666</v>
      </c>
      <c r="J19">
        <v>250</v>
      </c>
    </row>
    <row r="20" spans="1:10" x14ac:dyDescent="0.3">
      <c r="D20" s="37">
        <v>65</v>
      </c>
      <c r="E20">
        <v>130</v>
      </c>
      <c r="H20" s="3" t="s">
        <v>12</v>
      </c>
      <c r="I20" s="31">
        <v>0.29375000000000001</v>
      </c>
      <c r="J20">
        <v>120</v>
      </c>
    </row>
    <row r="21" spans="1:10" x14ac:dyDescent="0.3">
      <c r="D21" s="37">
        <v>73</v>
      </c>
      <c r="E21">
        <v>187</v>
      </c>
      <c r="H21" s="3" t="s">
        <v>13</v>
      </c>
      <c r="I21" s="31">
        <v>0.35069444444444442</v>
      </c>
      <c r="J21">
        <v>130</v>
      </c>
    </row>
    <row r="22" spans="1:10" x14ac:dyDescent="0.3">
      <c r="D22" s="37">
        <v>90</v>
      </c>
      <c r="E22">
        <v>280</v>
      </c>
      <c r="H22" s="3" t="s">
        <v>14</v>
      </c>
      <c r="I22" s="31">
        <v>0.33958333333333335</v>
      </c>
      <c r="J22">
        <v>187</v>
      </c>
    </row>
    <row r="23" spans="1:10" x14ac:dyDescent="0.3">
      <c r="H23" s="3" t="s">
        <v>15</v>
      </c>
      <c r="I23" s="31">
        <v>0.2673611111111111</v>
      </c>
      <c r="J23">
        <v>280</v>
      </c>
    </row>
    <row r="24" spans="1:10" x14ac:dyDescent="0.3">
      <c r="H24" s="44" t="s">
        <v>28</v>
      </c>
      <c r="I24" s="31">
        <v>2.1763888888888889</v>
      </c>
      <c r="J24">
        <v>1394</v>
      </c>
    </row>
  </sheetData>
  <mergeCells count="1">
    <mergeCell ref="H3: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B1CC1-FB0E-4F9F-8640-7F3A4365B8B1}">
  <sheetPr codeName="Sheet4"/>
  <dimension ref="A1:BU70"/>
  <sheetViews>
    <sheetView showGridLines="0" showRowColHeaders="0" zoomScale="29" zoomScaleNormal="29" zoomScalePageLayoutView="14" workbookViewId="0">
      <selection activeCell="A37" sqref="A37"/>
    </sheetView>
  </sheetViews>
  <sheetFormatPr defaultRowHeight="14.4" x14ac:dyDescent="0.3"/>
  <cols>
    <col min="10" max="10" width="15.33203125" bestFit="1" customWidth="1"/>
  </cols>
  <sheetData>
    <row r="1" spans="1:73" ht="25.2" x14ac:dyDescent="0.45">
      <c r="A1" s="32"/>
      <c r="B1" s="32"/>
      <c r="C1" s="32"/>
      <c r="D1" s="32"/>
      <c r="E1" s="32"/>
      <c r="F1" s="32"/>
      <c r="G1" s="32"/>
      <c r="H1" s="32"/>
      <c r="I1" s="32"/>
      <c r="J1" s="32"/>
      <c r="K1" s="32"/>
      <c r="L1" s="32"/>
      <c r="M1" s="32"/>
      <c r="N1" s="32"/>
      <c r="O1" s="32"/>
      <c r="P1" s="32"/>
      <c r="Q1" s="32"/>
      <c r="R1" s="32"/>
      <c r="S1" s="32"/>
      <c r="T1" s="32"/>
      <c r="U1" s="32"/>
      <c r="V1" s="32"/>
      <c r="W1" s="32"/>
      <c r="X1" s="49"/>
      <c r="Y1" s="49"/>
      <c r="Z1" s="49"/>
      <c r="AA1" s="49"/>
      <c r="AB1" s="49"/>
      <c r="AC1" s="49"/>
      <c r="AD1" s="49"/>
      <c r="AE1" s="49"/>
      <c r="AF1" s="49"/>
      <c r="AG1" s="49"/>
      <c r="AH1" s="49"/>
      <c r="AI1" s="49"/>
      <c r="AJ1" s="49"/>
      <c r="AK1" s="49"/>
      <c r="AL1" s="49"/>
      <c r="AM1" s="49"/>
      <c r="AN1" s="49"/>
      <c r="AO1" s="49"/>
      <c r="AP1" s="49"/>
      <c r="AQ1" s="49"/>
      <c r="AR1" s="49"/>
      <c r="AS1" s="49"/>
      <c r="AT1" s="49"/>
      <c r="AU1" s="47"/>
      <c r="AV1" s="47"/>
      <c r="AW1" s="47"/>
      <c r="AX1" s="47"/>
      <c r="AY1" s="47"/>
      <c r="AZ1" s="47"/>
      <c r="BA1" s="47"/>
      <c r="BB1" s="47"/>
      <c r="BC1" s="47"/>
      <c r="BD1" s="47"/>
      <c r="BE1" s="47"/>
      <c r="BF1" s="47"/>
      <c r="BG1" s="47"/>
      <c r="BH1" s="47"/>
      <c r="BI1" s="47"/>
      <c r="BJ1" s="47"/>
      <c r="BK1" s="47"/>
      <c r="BL1" s="47"/>
      <c r="BM1" s="47"/>
      <c r="BN1" s="47"/>
      <c r="BO1" s="47"/>
      <c r="BP1" s="47"/>
      <c r="BQ1" s="47"/>
      <c r="BR1" s="45"/>
      <c r="BS1" s="45"/>
      <c r="BT1" s="45"/>
      <c r="BU1" s="45"/>
    </row>
    <row r="2" spans="1:73" ht="25.2" x14ac:dyDescent="0.45">
      <c r="A2" s="32"/>
      <c r="B2" s="32"/>
      <c r="C2" s="32"/>
      <c r="D2" s="32"/>
      <c r="E2" s="32"/>
      <c r="F2" s="32"/>
      <c r="G2" s="32"/>
      <c r="H2" s="32"/>
      <c r="I2" s="32"/>
      <c r="J2" s="32"/>
      <c r="K2" s="32"/>
      <c r="L2" s="32"/>
      <c r="M2" s="32"/>
      <c r="N2" s="32"/>
      <c r="O2" s="32"/>
      <c r="P2" s="32"/>
      <c r="Q2" s="32"/>
      <c r="R2" s="32"/>
      <c r="S2" s="32"/>
      <c r="T2" s="32"/>
      <c r="U2" s="32"/>
      <c r="V2" s="32"/>
      <c r="W2" s="32"/>
      <c r="X2" s="49"/>
      <c r="Y2" s="49"/>
      <c r="Z2" s="49"/>
      <c r="AA2" s="49"/>
      <c r="AB2" s="49"/>
      <c r="AC2" s="49"/>
      <c r="AD2" s="49"/>
      <c r="AE2" s="49"/>
      <c r="AF2" s="49"/>
      <c r="AG2" s="49"/>
      <c r="AH2" s="49"/>
      <c r="AI2" s="49"/>
      <c r="AJ2" s="49"/>
      <c r="AK2" s="49"/>
      <c r="AL2" s="49"/>
      <c r="AM2" s="49"/>
      <c r="AN2" s="49"/>
      <c r="AO2" s="49"/>
      <c r="AP2" s="49"/>
      <c r="AQ2" s="49"/>
      <c r="AR2" s="49"/>
      <c r="AS2" s="49"/>
      <c r="AT2" s="49"/>
      <c r="AU2" s="47"/>
      <c r="AV2" s="47"/>
      <c r="AW2" s="47"/>
      <c r="AX2" s="47"/>
      <c r="AY2" s="47"/>
      <c r="AZ2" s="47"/>
      <c r="BA2" s="47"/>
      <c r="BB2" s="47"/>
      <c r="BC2" s="47"/>
      <c r="BD2" s="47"/>
      <c r="BE2" s="47"/>
      <c r="BF2" s="47"/>
      <c r="BG2" s="47"/>
      <c r="BH2" s="47"/>
      <c r="BI2" s="47"/>
      <c r="BJ2" s="47"/>
      <c r="BK2" s="47"/>
      <c r="BL2" s="47"/>
      <c r="BM2" s="47"/>
      <c r="BN2" s="47"/>
      <c r="BO2" s="47"/>
      <c r="BP2" s="47"/>
      <c r="BQ2" s="47"/>
      <c r="BR2" s="45"/>
      <c r="BS2" s="45"/>
      <c r="BT2" s="45"/>
      <c r="BU2" s="45"/>
    </row>
    <row r="3" spans="1:73" ht="25.2" x14ac:dyDescent="0.45">
      <c r="A3" s="32"/>
      <c r="B3" s="32"/>
      <c r="C3" s="32"/>
      <c r="D3" s="32"/>
      <c r="E3" s="32"/>
      <c r="F3" s="32"/>
      <c r="G3" s="32"/>
      <c r="H3" s="32"/>
      <c r="I3" s="32"/>
      <c r="J3" s="32"/>
      <c r="K3" s="32"/>
      <c r="L3" s="39"/>
      <c r="M3" s="32"/>
      <c r="N3" s="32"/>
      <c r="O3" s="32"/>
      <c r="P3" s="32"/>
      <c r="Q3" s="32"/>
      <c r="R3" s="32"/>
      <c r="S3" s="32"/>
      <c r="T3" s="32"/>
      <c r="U3" s="32"/>
      <c r="V3" s="32"/>
      <c r="W3" s="32"/>
      <c r="X3" s="49"/>
      <c r="Y3" s="49"/>
      <c r="Z3" s="49"/>
      <c r="AA3" s="49"/>
      <c r="AB3" s="49"/>
      <c r="AC3" s="49"/>
      <c r="AD3" s="49"/>
      <c r="AE3" s="49"/>
      <c r="AF3" s="49"/>
      <c r="AG3" s="49"/>
      <c r="AH3" s="49"/>
      <c r="AI3" s="49"/>
      <c r="AJ3" s="49"/>
      <c r="AK3" s="49"/>
      <c r="AL3" s="49"/>
      <c r="AM3" s="49"/>
      <c r="AN3" s="49"/>
      <c r="AO3" s="49"/>
      <c r="AP3" s="49"/>
      <c r="AQ3" s="49"/>
      <c r="AR3" s="49"/>
      <c r="AS3" s="49"/>
      <c r="AT3" s="49"/>
      <c r="AU3" s="47"/>
      <c r="AV3" s="47"/>
      <c r="AW3" s="47"/>
      <c r="AX3" s="47"/>
      <c r="AY3" s="47"/>
      <c r="AZ3" s="47"/>
      <c r="BA3" s="47"/>
      <c r="BB3" s="47"/>
      <c r="BC3" s="47"/>
      <c r="BD3" s="47"/>
      <c r="BE3" s="47"/>
      <c r="BF3" s="47"/>
      <c r="BG3" s="47"/>
      <c r="BH3" s="47"/>
      <c r="BI3" s="47"/>
      <c r="BJ3" s="47"/>
      <c r="BK3" s="47"/>
      <c r="BL3" s="47"/>
      <c r="BM3" s="47"/>
      <c r="BN3" s="47"/>
      <c r="BO3" s="47"/>
      <c r="BP3" s="47"/>
      <c r="BQ3" s="47"/>
      <c r="BR3" s="45"/>
      <c r="BS3" s="45"/>
      <c r="BT3" s="45"/>
      <c r="BU3" s="45"/>
    </row>
    <row r="4" spans="1:73" ht="25.2" x14ac:dyDescent="0.45">
      <c r="A4" s="32"/>
      <c r="B4" s="32"/>
      <c r="C4" s="32"/>
      <c r="D4" s="32"/>
      <c r="E4" s="32"/>
      <c r="F4" s="32"/>
      <c r="G4" s="32"/>
      <c r="H4" s="32"/>
      <c r="I4" s="32"/>
      <c r="J4" s="32"/>
      <c r="K4" s="32"/>
      <c r="L4" s="32"/>
      <c r="M4" s="32"/>
      <c r="N4" s="32"/>
      <c r="O4" s="32"/>
      <c r="P4" s="32"/>
      <c r="Q4" s="32"/>
      <c r="R4" s="32"/>
      <c r="S4" s="32"/>
      <c r="T4" s="32"/>
      <c r="U4" s="32"/>
      <c r="V4" s="32"/>
      <c r="W4" s="32"/>
      <c r="X4" s="49"/>
      <c r="Y4" s="49"/>
      <c r="Z4" s="49"/>
      <c r="AA4" s="49"/>
      <c r="AB4" s="49"/>
      <c r="AC4" s="49"/>
      <c r="AD4" s="49"/>
      <c r="AE4" s="49"/>
      <c r="AF4" s="49"/>
      <c r="AG4" s="49"/>
      <c r="AH4" s="49"/>
      <c r="AI4" s="49"/>
      <c r="AJ4" s="49"/>
      <c r="AK4" s="49"/>
      <c r="AL4" s="49"/>
      <c r="AM4" s="49"/>
      <c r="AN4" s="49"/>
      <c r="AO4" s="49"/>
      <c r="AP4" s="49"/>
      <c r="AQ4" s="49"/>
      <c r="AR4" s="49"/>
      <c r="AS4" s="49"/>
      <c r="AT4" s="49"/>
      <c r="AU4" s="47"/>
      <c r="AV4" s="47"/>
      <c r="AW4" s="47"/>
      <c r="AX4" s="47"/>
      <c r="AY4" s="47"/>
      <c r="AZ4" s="47"/>
      <c r="BA4" s="47"/>
      <c r="BB4" s="47"/>
      <c r="BC4" s="47"/>
      <c r="BD4" s="47"/>
      <c r="BE4" s="47"/>
      <c r="BF4" s="47"/>
      <c r="BG4" s="47"/>
      <c r="BH4" s="47"/>
      <c r="BI4" s="47"/>
      <c r="BJ4" s="47"/>
      <c r="BK4" s="47"/>
      <c r="BL4" s="47"/>
      <c r="BM4" s="47"/>
      <c r="BN4" s="47"/>
      <c r="BO4" s="47"/>
      <c r="BP4" s="47"/>
      <c r="BQ4" s="47"/>
      <c r="BR4" s="45"/>
      <c r="BS4" s="45"/>
      <c r="BT4" s="45"/>
      <c r="BU4" s="45"/>
    </row>
    <row r="5" spans="1:73" ht="25.2" x14ac:dyDescent="0.45">
      <c r="A5" s="32"/>
      <c r="B5" s="32"/>
      <c r="C5" s="38"/>
      <c r="D5" s="32"/>
      <c r="E5" s="32"/>
      <c r="F5" s="32"/>
      <c r="G5" s="32"/>
      <c r="H5" s="32"/>
      <c r="I5" s="32"/>
      <c r="J5" s="32"/>
      <c r="K5" s="32"/>
      <c r="L5" s="32"/>
      <c r="M5" s="32"/>
      <c r="N5" s="32"/>
      <c r="O5" s="32"/>
      <c r="P5" s="32"/>
      <c r="Q5" s="32"/>
      <c r="R5" s="32"/>
      <c r="S5" s="32"/>
      <c r="T5" s="32"/>
      <c r="U5" s="32"/>
      <c r="V5" s="32"/>
      <c r="W5" s="32"/>
      <c r="X5" s="49"/>
      <c r="Y5" s="49"/>
      <c r="Z5" s="49"/>
      <c r="AA5" s="49"/>
      <c r="AB5" s="49"/>
      <c r="AC5" s="49"/>
      <c r="AD5" s="49"/>
      <c r="AE5" s="49"/>
      <c r="AF5" s="49"/>
      <c r="AG5" s="49"/>
      <c r="AH5" s="49"/>
      <c r="AI5" s="49"/>
      <c r="AJ5" s="49"/>
      <c r="AK5" s="49"/>
      <c r="AL5" s="49"/>
      <c r="AM5" s="49"/>
      <c r="AN5" s="49"/>
      <c r="AO5" s="49"/>
      <c r="AP5" s="49"/>
      <c r="AQ5" s="49"/>
      <c r="AR5" s="49"/>
      <c r="AS5" s="49"/>
      <c r="AT5" s="49"/>
      <c r="AU5" s="47"/>
      <c r="AV5" s="47"/>
      <c r="AW5" s="47"/>
      <c r="AX5" s="47"/>
      <c r="AY5" s="47"/>
      <c r="AZ5" s="47"/>
      <c r="BA5" s="47"/>
      <c r="BB5" s="47"/>
      <c r="BC5" s="47"/>
      <c r="BD5" s="47"/>
      <c r="BE5" s="47"/>
      <c r="BF5" s="47"/>
      <c r="BG5" s="47"/>
      <c r="BH5" s="47"/>
      <c r="BI5" s="47"/>
      <c r="BJ5" s="47"/>
      <c r="BK5" s="47"/>
      <c r="BL5" s="47"/>
      <c r="BM5" s="47"/>
      <c r="BN5" s="47"/>
      <c r="BO5" s="47"/>
      <c r="BP5" s="47"/>
      <c r="BQ5" s="47"/>
      <c r="BR5" s="45"/>
      <c r="BS5" s="45"/>
      <c r="BT5" s="45"/>
      <c r="BU5" s="45"/>
    </row>
    <row r="6" spans="1:73" ht="25.2" x14ac:dyDescent="0.45">
      <c r="A6" s="32"/>
      <c r="B6" s="32"/>
      <c r="C6" s="32"/>
      <c r="D6" s="32"/>
      <c r="E6" s="32"/>
      <c r="F6" s="32"/>
      <c r="G6" s="32"/>
      <c r="H6" s="32"/>
      <c r="I6" s="32"/>
      <c r="J6" s="32"/>
      <c r="K6" s="32"/>
      <c r="L6" s="32"/>
      <c r="M6" s="32"/>
      <c r="N6" s="32"/>
      <c r="O6" s="32"/>
      <c r="P6" s="32"/>
      <c r="Q6" s="32"/>
      <c r="R6" s="32"/>
      <c r="S6" s="32"/>
      <c r="T6" s="32"/>
      <c r="U6" s="32"/>
      <c r="V6" s="32"/>
      <c r="W6" s="32"/>
      <c r="X6" s="49"/>
      <c r="Y6" s="49"/>
      <c r="Z6" s="49"/>
      <c r="AA6" s="49"/>
      <c r="AB6" s="49"/>
      <c r="AC6" s="49"/>
      <c r="AD6" s="49"/>
      <c r="AE6" s="49"/>
      <c r="AF6" s="49"/>
      <c r="AG6" s="49"/>
      <c r="AH6" s="49"/>
      <c r="AI6" s="49"/>
      <c r="AJ6" s="49"/>
      <c r="AK6" s="49"/>
      <c r="AL6" s="49"/>
      <c r="AM6" s="49"/>
      <c r="AN6" s="49"/>
      <c r="AO6" s="49"/>
      <c r="AP6" s="49"/>
      <c r="AQ6" s="49"/>
      <c r="AR6" s="49"/>
      <c r="AS6" s="49"/>
      <c r="AT6" s="49"/>
      <c r="AU6" s="47"/>
      <c r="AV6" s="47"/>
      <c r="AW6" s="47"/>
      <c r="AX6" s="47"/>
      <c r="AY6" s="47"/>
      <c r="AZ6" s="47"/>
      <c r="BA6" s="47"/>
      <c r="BB6" s="47"/>
      <c r="BC6" s="47"/>
      <c r="BD6" s="47"/>
      <c r="BE6" s="47"/>
      <c r="BF6" s="47"/>
      <c r="BG6" s="47"/>
      <c r="BH6" s="47"/>
      <c r="BI6" s="47"/>
      <c r="BJ6" s="47"/>
      <c r="BK6" s="47"/>
      <c r="BL6" s="47"/>
      <c r="BM6" s="47"/>
      <c r="BN6" s="47"/>
      <c r="BO6" s="47"/>
      <c r="BP6" s="47"/>
      <c r="BQ6" s="47"/>
      <c r="BR6" s="45"/>
      <c r="BS6" s="45"/>
      <c r="BT6" s="45"/>
      <c r="BU6" s="45"/>
    </row>
    <row r="7" spans="1:73" ht="25.2" x14ac:dyDescent="0.45">
      <c r="A7" s="32"/>
      <c r="B7" s="32"/>
      <c r="C7" s="32"/>
      <c r="D7" s="32"/>
      <c r="E7" s="32"/>
      <c r="F7" s="32"/>
      <c r="G7" s="32"/>
      <c r="H7" s="32"/>
      <c r="I7" s="32"/>
      <c r="J7" s="32"/>
      <c r="K7" s="32"/>
      <c r="L7" s="32"/>
      <c r="M7" s="32"/>
      <c r="N7" s="32"/>
      <c r="O7" s="32"/>
      <c r="P7" s="32"/>
      <c r="Q7" s="32"/>
      <c r="R7" s="32"/>
      <c r="S7" s="32"/>
      <c r="T7" s="32"/>
      <c r="U7" s="32"/>
      <c r="V7" s="32"/>
      <c r="W7" s="32"/>
      <c r="X7" s="51"/>
      <c r="Y7" s="51"/>
      <c r="Z7" s="51"/>
      <c r="AA7" s="51"/>
      <c r="AB7" s="51"/>
      <c r="AC7" s="51"/>
      <c r="AD7" s="51"/>
      <c r="AE7" s="51"/>
      <c r="AF7" s="51"/>
      <c r="AG7" s="51"/>
      <c r="AH7" s="51"/>
      <c r="AI7" s="51"/>
      <c r="AJ7" s="51"/>
      <c r="AK7" s="51"/>
      <c r="AL7" s="51"/>
      <c r="AM7" s="51"/>
      <c r="AN7" s="51"/>
      <c r="AO7" s="51"/>
      <c r="AP7" s="51"/>
      <c r="AQ7" s="51"/>
      <c r="AR7" s="51"/>
      <c r="AS7" s="51"/>
      <c r="AT7" s="51"/>
      <c r="AU7" s="47"/>
      <c r="AV7" s="47"/>
      <c r="AW7" s="47"/>
      <c r="AX7" s="47"/>
      <c r="AY7" s="47"/>
      <c r="AZ7" s="47"/>
      <c r="BA7" s="47"/>
      <c r="BB7" s="47"/>
      <c r="BC7" s="47"/>
      <c r="BD7" s="47"/>
      <c r="BE7" s="47"/>
      <c r="BF7" s="47"/>
      <c r="BG7" s="47"/>
      <c r="BH7" s="47"/>
      <c r="BI7" s="47"/>
      <c r="BJ7" s="47"/>
      <c r="BK7" s="47"/>
      <c r="BL7" s="47"/>
      <c r="BM7" s="47"/>
      <c r="BN7" s="47"/>
      <c r="BO7" s="47"/>
      <c r="BP7" s="47"/>
      <c r="BQ7" s="47"/>
      <c r="BR7" s="45"/>
      <c r="BS7" s="45"/>
      <c r="BT7" s="45"/>
      <c r="BU7" s="45"/>
    </row>
    <row r="8" spans="1:73" ht="25.2" x14ac:dyDescent="0.45">
      <c r="A8" s="32"/>
      <c r="B8" s="32"/>
      <c r="C8" s="32"/>
      <c r="D8" s="32"/>
      <c r="E8" s="32"/>
      <c r="F8" s="32"/>
      <c r="G8" s="32"/>
      <c r="H8" s="32"/>
      <c r="I8" s="32"/>
      <c r="J8" s="32"/>
      <c r="K8" s="32"/>
      <c r="L8" s="32"/>
      <c r="M8" s="32"/>
      <c r="N8" s="32"/>
      <c r="O8" s="32"/>
      <c r="P8" s="32"/>
      <c r="Q8" s="32"/>
      <c r="R8" s="32"/>
      <c r="S8" s="32"/>
      <c r="T8" s="32"/>
      <c r="U8" s="32"/>
      <c r="V8" s="32"/>
      <c r="W8" s="32"/>
      <c r="X8" s="49"/>
      <c r="Y8" s="49"/>
      <c r="Z8" s="49"/>
      <c r="AA8" s="49"/>
      <c r="AB8" s="49"/>
      <c r="AC8" s="49"/>
      <c r="AD8" s="49"/>
      <c r="AE8" s="49"/>
      <c r="AF8" s="49"/>
      <c r="AG8" s="49"/>
      <c r="AH8" s="49"/>
      <c r="AI8" s="49"/>
      <c r="AJ8" s="49"/>
      <c r="AK8" s="49"/>
      <c r="AL8" s="49"/>
      <c r="AM8" s="49"/>
      <c r="AN8" s="49"/>
      <c r="AO8" s="49"/>
      <c r="AP8" s="49"/>
      <c r="AQ8" s="49"/>
      <c r="AR8" s="49"/>
      <c r="AS8" s="49"/>
      <c r="AT8" s="49"/>
      <c r="AU8" s="47"/>
      <c r="AV8" s="47"/>
      <c r="AW8" s="47"/>
      <c r="AX8" s="47"/>
      <c r="AY8" s="47"/>
      <c r="AZ8" s="47"/>
      <c r="BA8" s="47"/>
      <c r="BB8" s="47"/>
      <c r="BC8" s="47"/>
      <c r="BD8" s="47"/>
      <c r="BE8" s="47"/>
      <c r="BF8" s="47"/>
      <c r="BG8" s="47"/>
      <c r="BH8" s="47"/>
      <c r="BI8" s="47"/>
      <c r="BJ8" s="47"/>
      <c r="BK8" s="47"/>
      <c r="BL8" s="47"/>
      <c r="BM8" s="47"/>
      <c r="BN8" s="47"/>
      <c r="BO8" s="47"/>
      <c r="BP8" s="47"/>
      <c r="BQ8" s="47"/>
      <c r="BR8" s="45"/>
      <c r="BS8" s="45"/>
      <c r="BT8" s="45"/>
      <c r="BU8" s="45"/>
    </row>
    <row r="9" spans="1:73" ht="25.2" x14ac:dyDescent="0.45">
      <c r="A9" s="32"/>
      <c r="B9" s="32"/>
      <c r="C9" s="32"/>
      <c r="D9" s="32"/>
      <c r="E9" s="32"/>
      <c r="F9" s="32"/>
      <c r="G9" s="32"/>
      <c r="H9" s="32"/>
      <c r="I9" s="32"/>
      <c r="J9" s="32"/>
      <c r="K9" s="32"/>
      <c r="L9" s="32"/>
      <c r="M9" s="32"/>
      <c r="N9" s="32"/>
      <c r="O9" s="32"/>
      <c r="P9" s="32"/>
      <c r="Q9" s="32"/>
      <c r="R9" s="32"/>
      <c r="S9" s="32"/>
      <c r="T9" s="32"/>
      <c r="U9" s="32"/>
      <c r="V9" s="32"/>
      <c r="W9" s="32"/>
      <c r="X9" s="49"/>
      <c r="Y9" s="49"/>
      <c r="Z9" s="49"/>
      <c r="AA9" s="49"/>
      <c r="AB9" s="49"/>
      <c r="AC9" s="49"/>
      <c r="AD9" s="49"/>
      <c r="AE9" s="49"/>
      <c r="AF9" s="49"/>
      <c r="AG9" s="49"/>
      <c r="AH9" s="49"/>
      <c r="AI9" s="49"/>
      <c r="AJ9" s="49"/>
      <c r="AK9" s="49"/>
      <c r="AL9" s="49"/>
      <c r="AM9" s="49"/>
      <c r="AN9" s="49"/>
      <c r="AO9" s="49"/>
      <c r="AP9" s="49"/>
      <c r="AQ9" s="49"/>
      <c r="AR9" s="49"/>
      <c r="AS9" s="49"/>
      <c r="AT9" s="49"/>
      <c r="AU9" s="47"/>
      <c r="AV9" s="47"/>
      <c r="AW9" s="47"/>
      <c r="AX9" s="47"/>
      <c r="AY9" s="47"/>
      <c r="AZ9" s="47"/>
      <c r="BA9" s="47"/>
      <c r="BB9" s="47"/>
      <c r="BC9" s="47"/>
      <c r="BD9" s="47"/>
      <c r="BE9" s="47"/>
      <c r="BF9" s="47"/>
      <c r="BG9" s="47"/>
      <c r="BH9" s="47"/>
      <c r="BI9" s="47"/>
      <c r="BJ9" s="47"/>
      <c r="BK9" s="47"/>
      <c r="BL9" s="47"/>
      <c r="BM9" s="47"/>
      <c r="BN9" s="47"/>
      <c r="BO9" s="47"/>
      <c r="BP9" s="47"/>
      <c r="BQ9" s="47"/>
      <c r="BR9" s="45"/>
      <c r="BS9" s="45"/>
      <c r="BT9" s="45"/>
      <c r="BU9" s="45"/>
    </row>
    <row r="10" spans="1:73" ht="25.2" x14ac:dyDescent="0.45">
      <c r="A10" s="32"/>
      <c r="B10" s="32"/>
      <c r="C10" s="32"/>
      <c r="D10" s="32"/>
      <c r="E10" s="32"/>
      <c r="F10" s="32"/>
      <c r="G10" s="32"/>
      <c r="H10" s="32"/>
      <c r="I10" s="32"/>
      <c r="J10" s="32"/>
      <c r="K10" s="32"/>
      <c r="L10" s="32"/>
      <c r="M10" s="32"/>
      <c r="N10" s="32"/>
      <c r="O10" s="32"/>
      <c r="P10" s="32"/>
      <c r="Q10" s="32"/>
      <c r="R10" s="32"/>
      <c r="S10" s="32"/>
      <c r="T10" s="32"/>
      <c r="U10" s="32"/>
      <c r="V10" s="32"/>
      <c r="W10" s="32"/>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5"/>
      <c r="BS10" s="45"/>
      <c r="BT10" s="45"/>
      <c r="BU10" s="45"/>
    </row>
    <row r="11" spans="1:73" ht="25.2" x14ac:dyDescent="0.45">
      <c r="A11" s="32"/>
      <c r="B11" s="32"/>
      <c r="C11" s="32"/>
      <c r="D11" s="32"/>
      <c r="E11" s="32"/>
      <c r="F11" s="32"/>
      <c r="G11" s="32"/>
      <c r="H11" s="32"/>
      <c r="I11" s="32"/>
      <c r="J11" s="32"/>
      <c r="K11" s="32"/>
      <c r="L11" s="32"/>
      <c r="M11" s="32"/>
      <c r="N11" s="32"/>
      <c r="O11" s="32"/>
      <c r="P11" s="32"/>
      <c r="Q11" s="32"/>
      <c r="R11" s="32"/>
      <c r="S11" s="32"/>
      <c r="T11" s="32"/>
      <c r="U11" s="32"/>
      <c r="V11" s="32"/>
      <c r="W11" s="32"/>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5"/>
      <c r="BS11" s="45"/>
      <c r="BT11" s="45"/>
      <c r="BU11" s="45"/>
    </row>
    <row r="12" spans="1:73" ht="25.2" x14ac:dyDescent="0.45">
      <c r="A12" s="32"/>
      <c r="B12" s="32"/>
      <c r="C12" s="32"/>
      <c r="D12" s="32"/>
      <c r="E12" s="32"/>
      <c r="F12" s="32"/>
      <c r="G12" s="32"/>
      <c r="H12" s="32"/>
      <c r="I12" s="32"/>
      <c r="J12" s="32"/>
      <c r="K12" s="32"/>
      <c r="L12" s="32"/>
      <c r="M12" s="32"/>
      <c r="N12" s="32"/>
      <c r="O12" s="32"/>
      <c r="P12" s="32"/>
      <c r="Q12" s="32"/>
      <c r="R12" s="32"/>
      <c r="S12" s="32"/>
      <c r="T12" s="32"/>
      <c r="U12" s="32"/>
      <c r="V12" s="32"/>
      <c r="W12" s="32"/>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5"/>
      <c r="BS12" s="45"/>
      <c r="BT12" s="45"/>
      <c r="BU12" s="45"/>
    </row>
    <row r="13" spans="1:73" ht="25.2" x14ac:dyDescent="0.45">
      <c r="A13" s="32"/>
      <c r="B13" s="32"/>
      <c r="C13" s="32"/>
      <c r="D13" s="32"/>
      <c r="E13" s="32"/>
      <c r="F13" s="32"/>
      <c r="G13" s="32"/>
      <c r="H13" s="32"/>
      <c r="I13" s="32"/>
      <c r="J13" s="32"/>
      <c r="K13" s="32"/>
      <c r="L13" s="32"/>
      <c r="M13" s="32"/>
      <c r="N13" s="32"/>
      <c r="O13" s="32"/>
      <c r="P13" s="32"/>
      <c r="Q13" s="32"/>
      <c r="R13" s="32"/>
      <c r="S13" s="32"/>
      <c r="T13" s="32"/>
      <c r="U13" s="32"/>
      <c r="V13" s="32"/>
      <c r="W13" s="32"/>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5"/>
      <c r="BS13" s="45"/>
      <c r="BT13" s="45"/>
      <c r="BU13" s="45"/>
    </row>
    <row r="14" spans="1:73" ht="25.2" x14ac:dyDescent="0.45">
      <c r="A14" s="32"/>
      <c r="B14" s="32"/>
      <c r="C14" s="32"/>
      <c r="D14" s="32"/>
      <c r="E14" s="32"/>
      <c r="F14" s="32"/>
      <c r="G14" s="32"/>
      <c r="H14" s="32"/>
      <c r="I14" s="32"/>
      <c r="J14" s="32"/>
      <c r="K14" s="32"/>
      <c r="L14" s="32"/>
      <c r="M14" s="32"/>
      <c r="N14" s="32"/>
      <c r="O14" s="32"/>
      <c r="P14" s="32"/>
      <c r="Q14" s="32"/>
      <c r="R14" s="32"/>
      <c r="S14" s="32"/>
      <c r="T14" s="32"/>
      <c r="U14" s="32"/>
      <c r="V14" s="32"/>
      <c r="W14" s="32"/>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5"/>
      <c r="BS14" s="45"/>
      <c r="BT14" s="45"/>
      <c r="BU14" s="45"/>
    </row>
    <row r="15" spans="1:73" ht="25.2" x14ac:dyDescent="0.45">
      <c r="A15" s="32"/>
      <c r="B15" s="32"/>
      <c r="C15" s="32"/>
      <c r="D15" s="32"/>
      <c r="E15" s="32"/>
      <c r="F15" s="32"/>
      <c r="G15" s="32"/>
      <c r="H15" s="32"/>
      <c r="I15" s="32"/>
      <c r="J15" s="32"/>
      <c r="K15" s="32"/>
      <c r="L15" s="32"/>
      <c r="M15" s="32"/>
      <c r="N15" s="32"/>
      <c r="O15" s="32"/>
      <c r="P15" s="32"/>
      <c r="Q15" s="32"/>
      <c r="R15" s="32"/>
      <c r="S15" s="32"/>
      <c r="T15" s="32"/>
      <c r="U15" s="32"/>
      <c r="V15" s="32"/>
      <c r="W15" s="32"/>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5"/>
      <c r="BS15" s="45"/>
      <c r="BT15" s="45"/>
      <c r="BU15" s="45"/>
    </row>
    <row r="16" spans="1:73" ht="25.2" x14ac:dyDescent="0.45">
      <c r="A16" s="32"/>
      <c r="B16" s="32"/>
      <c r="C16" s="32"/>
      <c r="D16" s="32"/>
      <c r="E16" s="32"/>
      <c r="F16" s="32"/>
      <c r="G16" s="32"/>
      <c r="H16" s="32"/>
      <c r="I16" s="32"/>
      <c r="J16" s="32"/>
      <c r="K16" s="32"/>
      <c r="L16" s="32"/>
      <c r="M16" s="32"/>
      <c r="N16" s="32"/>
      <c r="O16" s="32"/>
      <c r="P16" s="32"/>
      <c r="Q16" s="32"/>
      <c r="R16" s="32"/>
      <c r="S16" s="32"/>
      <c r="T16" s="32"/>
      <c r="U16" s="32"/>
      <c r="V16" s="32"/>
      <c r="W16" s="32"/>
      <c r="X16" s="49" t="s">
        <v>30</v>
      </c>
      <c r="Y16" s="49"/>
      <c r="Z16" s="49"/>
      <c r="AA16" s="49"/>
      <c r="AB16" s="49"/>
      <c r="AC16" s="49"/>
      <c r="AD16" s="49"/>
      <c r="AE16" s="49"/>
      <c r="AF16" s="49"/>
      <c r="AG16" s="49"/>
      <c r="AH16" s="49"/>
      <c r="AI16" s="49"/>
      <c r="AJ16" s="49"/>
      <c r="AK16" s="49"/>
      <c r="AL16" s="49"/>
      <c r="AM16" s="49"/>
      <c r="AN16" s="49"/>
      <c r="AO16" s="49"/>
      <c r="AP16" s="49"/>
      <c r="AQ16" s="49"/>
      <c r="AR16" s="49"/>
      <c r="AS16" s="49"/>
      <c r="AT16" s="49"/>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5"/>
      <c r="BS16" s="45"/>
      <c r="BT16" s="45"/>
      <c r="BU16" s="45"/>
    </row>
    <row r="17" spans="1:73" ht="25.2" x14ac:dyDescent="0.45">
      <c r="A17" s="32"/>
      <c r="B17" s="32"/>
      <c r="C17" s="32"/>
      <c r="D17" s="32"/>
      <c r="E17" s="32"/>
      <c r="F17" s="32"/>
      <c r="G17" s="32"/>
      <c r="H17" s="32"/>
      <c r="I17" s="32"/>
      <c r="J17" s="32"/>
      <c r="K17" s="32"/>
      <c r="L17" s="32"/>
      <c r="M17" s="32"/>
      <c r="N17" s="32"/>
      <c r="O17" s="32"/>
      <c r="P17" s="32"/>
      <c r="Q17" s="32"/>
      <c r="R17" s="32"/>
      <c r="S17" s="32"/>
      <c r="T17" s="32"/>
      <c r="U17" s="32"/>
      <c r="V17" s="32"/>
      <c r="W17" s="32"/>
      <c r="X17" s="49" t="s">
        <v>30</v>
      </c>
      <c r="Y17" s="49"/>
      <c r="Z17" s="49"/>
      <c r="AA17" s="49"/>
      <c r="AB17" s="49"/>
      <c r="AC17" s="49"/>
      <c r="AD17" s="49"/>
      <c r="AE17" s="49"/>
      <c r="AF17" s="49"/>
      <c r="AG17" s="49"/>
      <c r="AH17" s="49"/>
      <c r="AI17" s="49"/>
      <c r="AJ17" s="49"/>
      <c r="AK17" s="49"/>
      <c r="AL17" s="49"/>
      <c r="AM17" s="49"/>
      <c r="AN17" s="49"/>
      <c r="AO17" s="49"/>
      <c r="AP17" s="49"/>
      <c r="AQ17" s="49"/>
      <c r="AR17" s="49"/>
      <c r="AS17" s="49"/>
      <c r="AT17" s="49"/>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5"/>
      <c r="BS17" s="45"/>
      <c r="BT17" s="45"/>
      <c r="BU17" s="45"/>
    </row>
    <row r="18" spans="1:73" ht="25.2" x14ac:dyDescent="0.45">
      <c r="A18" s="32"/>
      <c r="B18" s="32"/>
      <c r="C18" s="32"/>
      <c r="D18" s="32"/>
      <c r="E18" s="32"/>
      <c r="F18" s="32"/>
      <c r="G18" s="32"/>
      <c r="H18" s="32"/>
      <c r="I18" s="32"/>
      <c r="J18" s="32"/>
      <c r="K18" s="32"/>
      <c r="L18" s="32"/>
      <c r="M18" s="32"/>
      <c r="N18" s="32"/>
      <c r="O18" s="32"/>
      <c r="P18" s="32"/>
      <c r="Q18" s="32"/>
      <c r="R18" s="32"/>
      <c r="S18" s="32"/>
      <c r="T18" s="32"/>
      <c r="U18" s="32"/>
      <c r="V18" s="32"/>
      <c r="W18" s="32"/>
      <c r="X18" s="49" t="s">
        <v>30</v>
      </c>
      <c r="Y18" s="49"/>
      <c r="Z18" s="49"/>
      <c r="AA18" s="49"/>
      <c r="AB18" s="49"/>
      <c r="AC18" s="49"/>
      <c r="AD18" s="49"/>
      <c r="AE18" s="49"/>
      <c r="AF18" s="49"/>
      <c r="AG18" s="49"/>
      <c r="AH18" s="49"/>
      <c r="AI18" s="49"/>
      <c r="AJ18" s="49"/>
      <c r="AK18" s="49"/>
      <c r="AL18" s="49"/>
      <c r="AM18" s="49"/>
      <c r="AN18" s="49"/>
      <c r="AO18" s="49"/>
      <c r="AP18" s="49"/>
      <c r="AQ18" s="49"/>
      <c r="AR18" s="49"/>
      <c r="AS18" s="49"/>
      <c r="AT18" s="49"/>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5"/>
      <c r="BS18" s="45"/>
      <c r="BT18" s="45"/>
      <c r="BU18" s="45"/>
    </row>
    <row r="19" spans="1:73" ht="25.2" x14ac:dyDescent="0.45">
      <c r="A19" s="32"/>
      <c r="B19" s="32"/>
      <c r="C19" s="32"/>
      <c r="D19" s="32"/>
      <c r="E19" s="32"/>
      <c r="F19" s="32"/>
      <c r="G19" s="32"/>
      <c r="H19" s="32"/>
      <c r="I19" s="32"/>
      <c r="J19" s="32"/>
      <c r="K19" s="32"/>
      <c r="L19" s="32"/>
      <c r="M19" s="32"/>
      <c r="N19" s="32"/>
      <c r="O19" s="32"/>
      <c r="P19" s="32"/>
      <c r="Q19" s="32"/>
      <c r="R19" s="32"/>
      <c r="S19" s="32"/>
      <c r="T19" s="32"/>
      <c r="U19" s="32"/>
      <c r="V19" s="32"/>
      <c r="W19" s="32"/>
      <c r="X19" s="49" t="s">
        <v>30</v>
      </c>
      <c r="Y19" s="49"/>
      <c r="Z19" s="49"/>
      <c r="AA19" s="49"/>
      <c r="AB19" s="49"/>
      <c r="AC19" s="49"/>
      <c r="AD19" s="49"/>
      <c r="AE19" s="49"/>
      <c r="AF19" s="49"/>
      <c r="AG19" s="49"/>
      <c r="AH19" s="49"/>
      <c r="AI19" s="49"/>
      <c r="AJ19" s="49"/>
      <c r="AK19" s="49"/>
      <c r="AL19" s="49"/>
      <c r="AM19" s="49"/>
      <c r="AN19" s="49"/>
      <c r="AO19" s="49"/>
      <c r="AP19" s="49"/>
      <c r="AQ19" s="49"/>
      <c r="AR19" s="49"/>
      <c r="AS19" s="49"/>
      <c r="AT19" s="49"/>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5"/>
      <c r="BS19" s="45"/>
      <c r="BT19" s="45"/>
      <c r="BU19" s="45"/>
    </row>
    <row r="20" spans="1:73" ht="25.2" x14ac:dyDescent="0.45">
      <c r="A20" s="32"/>
      <c r="B20" s="32"/>
      <c r="C20" s="32"/>
      <c r="D20" s="32"/>
      <c r="E20" s="32"/>
      <c r="F20" s="32"/>
      <c r="G20" s="32"/>
      <c r="H20" s="32"/>
      <c r="I20" s="32"/>
      <c r="J20" s="32"/>
      <c r="K20" s="32"/>
      <c r="L20" s="32"/>
      <c r="M20" s="32"/>
      <c r="N20" s="32"/>
      <c r="O20" s="32"/>
      <c r="P20" s="32"/>
      <c r="Q20" s="32"/>
      <c r="R20" s="32"/>
      <c r="S20" s="32"/>
      <c r="T20" s="32"/>
      <c r="U20" s="32"/>
      <c r="V20" s="32"/>
      <c r="W20" s="32"/>
      <c r="X20" s="49" t="s">
        <v>30</v>
      </c>
      <c r="Y20" s="49"/>
      <c r="Z20" s="49"/>
      <c r="AA20" s="49"/>
      <c r="AB20" s="49"/>
      <c r="AC20" s="49"/>
      <c r="AD20" s="49"/>
      <c r="AE20" s="49"/>
      <c r="AF20" s="49"/>
      <c r="AG20" s="49"/>
      <c r="AH20" s="49"/>
      <c r="AI20" s="49"/>
      <c r="AJ20" s="49"/>
      <c r="AK20" s="49"/>
      <c r="AL20" s="49"/>
      <c r="AM20" s="49"/>
      <c r="AN20" s="49"/>
      <c r="AO20" s="49"/>
      <c r="AP20" s="49"/>
      <c r="AQ20" s="49"/>
      <c r="AR20" s="49"/>
      <c r="AS20" s="49"/>
      <c r="AT20" s="49"/>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5"/>
      <c r="BS20" s="45"/>
      <c r="BT20" s="45"/>
      <c r="BU20" s="45"/>
    </row>
    <row r="21" spans="1:73" ht="25.2" x14ac:dyDescent="0.45">
      <c r="A21" s="32"/>
      <c r="B21" s="32"/>
      <c r="C21" s="32"/>
      <c r="D21" s="32"/>
      <c r="E21" s="32"/>
      <c r="F21" s="32"/>
      <c r="G21" s="32"/>
      <c r="H21" s="32"/>
      <c r="I21" s="32"/>
      <c r="J21" s="32"/>
      <c r="K21" s="32"/>
      <c r="L21" s="32"/>
      <c r="M21" s="32"/>
      <c r="N21" s="32"/>
      <c r="O21" s="32"/>
      <c r="P21" s="32"/>
      <c r="Q21" s="32"/>
      <c r="R21" s="32"/>
      <c r="S21" s="32"/>
      <c r="T21" s="32"/>
      <c r="U21" s="32"/>
      <c r="V21" s="32"/>
      <c r="W21" s="32"/>
      <c r="X21" s="49" t="s">
        <v>30</v>
      </c>
      <c r="Y21" s="49"/>
      <c r="Z21" s="49"/>
      <c r="AA21" s="49"/>
      <c r="AB21" s="49"/>
      <c r="AC21" s="49"/>
      <c r="AD21" s="49"/>
      <c r="AE21" s="49"/>
      <c r="AF21" s="49"/>
      <c r="AG21" s="49"/>
      <c r="AH21" s="49"/>
      <c r="AI21" s="49"/>
      <c r="AJ21" s="49"/>
      <c r="AK21" s="49"/>
      <c r="AL21" s="49"/>
      <c r="AM21" s="49"/>
      <c r="AN21" s="49"/>
      <c r="AO21" s="49"/>
      <c r="AP21" s="49"/>
      <c r="AQ21" s="49"/>
      <c r="AR21" s="49"/>
      <c r="AS21" s="49"/>
      <c r="AT21" s="49"/>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5"/>
      <c r="BS21" s="45"/>
      <c r="BT21" s="45"/>
      <c r="BU21" s="45"/>
    </row>
    <row r="22" spans="1:73" ht="25.2" x14ac:dyDescent="0.45">
      <c r="A22" s="32"/>
      <c r="B22" s="32"/>
      <c r="C22" s="32"/>
      <c r="D22" s="32"/>
      <c r="E22" s="32"/>
      <c r="F22" s="32"/>
      <c r="G22" s="32"/>
      <c r="H22" s="32"/>
      <c r="I22" s="32"/>
      <c r="J22" s="32"/>
      <c r="K22" s="32"/>
      <c r="L22" s="32"/>
      <c r="M22" s="32"/>
      <c r="N22" s="32"/>
      <c r="O22" s="32"/>
      <c r="P22" s="32"/>
      <c r="Q22" s="32"/>
      <c r="R22" s="32"/>
      <c r="S22" s="32"/>
      <c r="T22" s="32"/>
      <c r="U22" s="32"/>
      <c r="V22" s="32"/>
      <c r="W22" s="32"/>
      <c r="X22" s="49" t="s">
        <v>30</v>
      </c>
      <c r="Y22" s="49"/>
      <c r="Z22" s="49"/>
      <c r="AA22" s="49"/>
      <c r="AB22" s="49"/>
      <c r="AC22" s="49"/>
      <c r="AD22" s="49"/>
      <c r="AE22" s="49"/>
      <c r="AF22" s="49"/>
      <c r="AG22" s="49"/>
      <c r="AH22" s="49"/>
      <c r="AI22" s="49"/>
      <c r="AJ22" s="49"/>
      <c r="AK22" s="49"/>
      <c r="AL22" s="49"/>
      <c r="AM22" s="49"/>
      <c r="AN22" s="49"/>
      <c r="AO22" s="49"/>
      <c r="AP22" s="49"/>
      <c r="AQ22" s="49"/>
      <c r="AR22" s="49"/>
      <c r="AS22" s="49"/>
      <c r="AT22" s="49"/>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5"/>
      <c r="BS22" s="45"/>
      <c r="BT22" s="45"/>
      <c r="BU22" s="45"/>
    </row>
    <row r="23" spans="1:73" ht="25.2" x14ac:dyDescent="0.45">
      <c r="A23" s="32"/>
      <c r="B23" s="32"/>
      <c r="C23" s="32"/>
      <c r="D23" s="32"/>
      <c r="E23" s="32"/>
      <c r="F23" s="32"/>
      <c r="G23" s="32"/>
      <c r="H23" s="32"/>
      <c r="I23" s="32"/>
      <c r="J23" s="32"/>
      <c r="K23" s="32"/>
      <c r="L23" s="32"/>
      <c r="M23" s="32"/>
      <c r="N23" s="32"/>
      <c r="O23" s="32"/>
      <c r="P23" s="32"/>
      <c r="Q23" s="32"/>
      <c r="R23" s="32"/>
      <c r="S23" s="32"/>
      <c r="T23" s="32"/>
      <c r="U23" s="32"/>
      <c r="V23" s="32"/>
      <c r="W23" s="32"/>
      <c r="X23" s="49" t="s">
        <v>30</v>
      </c>
      <c r="Y23" s="49"/>
      <c r="Z23" s="49"/>
      <c r="AA23" s="49"/>
      <c r="AB23" s="49"/>
      <c r="AC23" s="49"/>
      <c r="AD23" s="49"/>
      <c r="AE23" s="49"/>
      <c r="AF23" s="49"/>
      <c r="AG23" s="49"/>
      <c r="AH23" s="49"/>
      <c r="AI23" s="49"/>
      <c r="AJ23" s="49"/>
      <c r="AK23" s="49"/>
      <c r="AL23" s="49"/>
      <c r="AM23" s="49"/>
      <c r="AN23" s="49"/>
      <c r="AO23" s="49"/>
      <c r="AP23" s="49"/>
      <c r="AQ23" s="49"/>
      <c r="AR23" s="49"/>
      <c r="AS23" s="49"/>
      <c r="AT23" s="49"/>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5"/>
      <c r="BS23" s="45"/>
      <c r="BT23" s="45"/>
      <c r="BU23" s="45"/>
    </row>
    <row r="24" spans="1:73" ht="25.2" x14ac:dyDescent="0.45">
      <c r="B24" s="32"/>
      <c r="C24" s="32"/>
      <c r="D24" s="32"/>
      <c r="E24" s="32"/>
      <c r="F24" s="32"/>
      <c r="G24" s="32"/>
      <c r="H24" s="32"/>
      <c r="I24" s="32"/>
      <c r="J24" s="32"/>
      <c r="K24" s="32"/>
      <c r="L24" s="32"/>
      <c r="M24" s="32"/>
      <c r="N24" s="32"/>
      <c r="O24" s="32"/>
      <c r="P24" s="32"/>
      <c r="Q24" s="32"/>
      <c r="R24" s="32"/>
      <c r="S24" s="32"/>
      <c r="T24" s="32"/>
      <c r="U24" s="32"/>
      <c r="V24" s="32"/>
      <c r="W24" s="32"/>
      <c r="X24" s="49" t="s">
        <v>30</v>
      </c>
      <c r="Y24" s="49"/>
      <c r="Z24" s="49"/>
      <c r="AA24" s="49"/>
      <c r="AB24" s="49"/>
      <c r="AC24" s="49"/>
      <c r="AD24" s="49"/>
      <c r="AE24" s="49"/>
      <c r="AF24" s="49"/>
      <c r="AG24" s="49"/>
      <c r="AH24" s="49"/>
      <c r="AI24" s="49"/>
      <c r="AJ24" s="49"/>
      <c r="AK24" s="49"/>
      <c r="AL24" s="49"/>
      <c r="AM24" s="49"/>
      <c r="AN24" s="49"/>
      <c r="AO24" s="49"/>
      <c r="AP24" s="49"/>
      <c r="AQ24" s="49"/>
      <c r="AR24" s="49"/>
      <c r="AS24" s="49"/>
      <c r="AT24" s="49"/>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5"/>
      <c r="BS24" s="45"/>
      <c r="BT24" s="45"/>
      <c r="BU24" s="45"/>
    </row>
    <row r="25" spans="1:73" ht="25.2" x14ac:dyDescent="0.45">
      <c r="A25" s="32"/>
      <c r="B25" s="32"/>
      <c r="C25" s="32"/>
      <c r="D25" s="32"/>
      <c r="E25" s="32"/>
      <c r="F25" s="32"/>
      <c r="G25" s="32"/>
      <c r="H25" s="32"/>
      <c r="I25" s="32"/>
      <c r="J25" s="32"/>
      <c r="K25" s="32"/>
      <c r="L25" s="32"/>
      <c r="M25" s="32"/>
      <c r="N25" s="32"/>
      <c r="O25" s="32"/>
      <c r="P25" s="32"/>
      <c r="Q25" s="32"/>
      <c r="R25" s="32"/>
      <c r="S25" s="32"/>
      <c r="T25" s="32"/>
      <c r="U25" s="32"/>
      <c r="V25" s="32"/>
      <c r="W25" s="32"/>
      <c r="X25" s="49" t="s">
        <v>30</v>
      </c>
      <c r="Y25" s="49"/>
      <c r="Z25" s="49"/>
      <c r="AA25" s="49"/>
      <c r="AB25" s="49"/>
      <c r="AC25" s="49"/>
      <c r="AD25" s="49"/>
      <c r="AE25" s="49"/>
      <c r="AF25" s="49"/>
      <c r="AG25" s="49"/>
      <c r="AH25" s="49"/>
      <c r="AI25" s="49"/>
      <c r="AJ25" s="49"/>
      <c r="AK25" s="49"/>
      <c r="AL25" s="49"/>
      <c r="AM25" s="49"/>
      <c r="AN25" s="49"/>
      <c r="AO25" s="49"/>
      <c r="AP25" s="49"/>
      <c r="AQ25" s="49"/>
      <c r="AR25" s="49"/>
      <c r="AS25" s="49"/>
      <c r="AT25" s="49"/>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5"/>
      <c r="BS25" s="45"/>
      <c r="BT25" s="45"/>
      <c r="BU25" s="45"/>
    </row>
    <row r="26" spans="1:73" ht="25.2" x14ac:dyDescent="0.45">
      <c r="A26" s="32"/>
      <c r="B26" s="32"/>
      <c r="C26" s="32"/>
      <c r="D26" s="32"/>
      <c r="E26" s="32"/>
      <c r="F26" s="32"/>
      <c r="G26" s="32"/>
      <c r="H26" s="32"/>
      <c r="I26" s="32"/>
      <c r="J26" s="32"/>
      <c r="K26" s="32"/>
      <c r="L26" s="32"/>
      <c r="M26" s="32"/>
      <c r="N26" s="32"/>
      <c r="O26" s="32"/>
      <c r="P26" s="32"/>
      <c r="Q26" s="32"/>
      <c r="R26" s="32"/>
      <c r="S26" s="32"/>
      <c r="T26" s="32"/>
      <c r="U26" s="32"/>
      <c r="V26" s="32"/>
      <c r="W26" s="32"/>
      <c r="X26" s="49" t="s">
        <v>30</v>
      </c>
      <c r="Y26" s="49"/>
      <c r="Z26" s="49"/>
      <c r="AA26" s="49"/>
      <c r="AB26" s="49"/>
      <c r="AC26" s="49"/>
      <c r="AD26" s="49"/>
      <c r="AE26" s="49"/>
      <c r="AF26" s="49"/>
      <c r="AG26" s="49"/>
      <c r="AH26" s="49"/>
      <c r="AI26" s="49"/>
      <c r="AJ26" s="49"/>
      <c r="AK26" s="49"/>
      <c r="AL26" s="49"/>
      <c r="AM26" s="49"/>
      <c r="AN26" s="49"/>
      <c r="AO26" s="49"/>
      <c r="AP26" s="49"/>
      <c r="AQ26" s="49"/>
      <c r="AR26" s="49"/>
      <c r="AS26" s="49"/>
      <c r="AT26" s="49"/>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5"/>
      <c r="BS26" s="45"/>
      <c r="BT26" s="45"/>
      <c r="BU26" s="45"/>
    </row>
    <row r="27" spans="1:73" ht="25.2" x14ac:dyDescent="0.45">
      <c r="A27" s="32"/>
      <c r="B27" s="32"/>
      <c r="C27" s="32"/>
      <c r="D27" s="32"/>
      <c r="E27" s="32"/>
      <c r="F27" s="32"/>
      <c r="G27" s="32"/>
      <c r="H27" s="32"/>
      <c r="I27" s="32"/>
      <c r="J27" s="32"/>
      <c r="K27" s="32"/>
      <c r="L27" s="32"/>
      <c r="M27" s="32"/>
      <c r="N27" s="32"/>
      <c r="O27" s="32"/>
      <c r="P27" s="32"/>
      <c r="Q27" s="32"/>
      <c r="R27" s="32"/>
      <c r="S27" s="32"/>
      <c r="T27" s="32"/>
      <c r="U27" s="32"/>
      <c r="V27" s="32"/>
      <c r="W27" s="32"/>
      <c r="X27" s="49" t="s">
        <v>30</v>
      </c>
      <c r="Y27" s="49"/>
      <c r="Z27" s="49"/>
      <c r="AA27" s="49"/>
      <c r="AB27" s="49"/>
      <c r="AC27" s="49"/>
      <c r="AD27" s="49"/>
      <c r="AE27" s="49"/>
      <c r="AF27" s="49"/>
      <c r="AG27" s="49"/>
      <c r="AH27" s="49"/>
      <c r="AI27" s="49"/>
      <c r="AJ27" s="49"/>
      <c r="AK27" s="49"/>
      <c r="AL27" s="49"/>
      <c r="AM27" s="49"/>
      <c r="AN27" s="49"/>
      <c r="AO27" s="49"/>
      <c r="AP27" s="49"/>
      <c r="AQ27" s="49"/>
      <c r="AR27" s="49"/>
      <c r="AS27" s="49"/>
      <c r="AT27" s="49"/>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5"/>
      <c r="BS27" s="45"/>
      <c r="BT27" s="45"/>
      <c r="BU27" s="45"/>
    </row>
    <row r="28" spans="1:73" ht="25.2" x14ac:dyDescent="0.45">
      <c r="A28" s="32"/>
      <c r="B28" s="32"/>
      <c r="C28" s="32"/>
      <c r="D28" s="32"/>
      <c r="E28" s="32"/>
      <c r="F28" s="32"/>
      <c r="G28" s="32"/>
      <c r="H28" s="32"/>
      <c r="I28" s="32"/>
      <c r="J28" s="32"/>
      <c r="K28" s="32"/>
      <c r="L28" s="32"/>
      <c r="M28" s="32"/>
      <c r="N28" s="32"/>
      <c r="O28" s="32"/>
      <c r="P28" s="32"/>
      <c r="Q28" s="32"/>
      <c r="R28" s="32"/>
      <c r="S28" s="32"/>
      <c r="T28" s="32"/>
      <c r="U28" s="32"/>
      <c r="V28" s="32"/>
      <c r="W28" s="32"/>
      <c r="X28" s="49" t="s">
        <v>30</v>
      </c>
      <c r="Y28" s="49"/>
      <c r="Z28" s="49"/>
      <c r="AA28" s="49"/>
      <c r="AB28" s="49"/>
      <c r="AC28" s="49"/>
      <c r="AD28" s="49"/>
      <c r="AE28" s="49"/>
      <c r="AF28" s="49"/>
      <c r="AG28" s="49"/>
      <c r="AH28" s="49"/>
      <c r="AI28" s="49"/>
      <c r="AJ28" s="49"/>
      <c r="AK28" s="49"/>
      <c r="AL28" s="49"/>
      <c r="AM28" s="49"/>
      <c r="AN28" s="49"/>
      <c r="AO28" s="49"/>
      <c r="AP28" s="49"/>
      <c r="AQ28" s="49"/>
      <c r="AR28" s="49"/>
      <c r="AS28" s="49"/>
      <c r="AT28" s="49"/>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5"/>
      <c r="BS28" s="45"/>
      <c r="BT28" s="45"/>
      <c r="BU28" s="45"/>
    </row>
    <row r="29" spans="1:73" ht="25.2" x14ac:dyDescent="0.45">
      <c r="A29" s="32"/>
      <c r="B29" s="32"/>
      <c r="C29" s="32"/>
      <c r="D29" s="32"/>
      <c r="E29" s="32"/>
      <c r="F29" s="32"/>
      <c r="G29" s="32"/>
      <c r="H29" s="32"/>
      <c r="I29" s="32"/>
      <c r="J29" s="32"/>
      <c r="K29" s="32"/>
      <c r="L29" s="32"/>
      <c r="M29" s="32"/>
      <c r="N29" s="32"/>
      <c r="O29" s="32"/>
      <c r="P29" s="32"/>
      <c r="Q29" s="32"/>
      <c r="R29" s="32"/>
      <c r="S29" s="32"/>
      <c r="T29" s="32"/>
      <c r="U29" s="32"/>
      <c r="V29" s="32"/>
      <c r="W29" s="32"/>
      <c r="X29" s="49" t="s">
        <v>30</v>
      </c>
      <c r="Y29" s="49"/>
      <c r="Z29" s="49"/>
      <c r="AA29" s="49"/>
      <c r="AB29" s="49"/>
      <c r="AC29" s="49"/>
      <c r="AD29" s="49"/>
      <c r="AE29" s="49"/>
      <c r="AF29" s="49"/>
      <c r="AG29" s="49"/>
      <c r="AH29" s="49"/>
      <c r="AI29" s="49"/>
      <c r="AJ29" s="49"/>
      <c r="AK29" s="49"/>
      <c r="AL29" s="49"/>
      <c r="AM29" s="49"/>
      <c r="AN29" s="49"/>
      <c r="AO29" s="49"/>
      <c r="AP29" s="49"/>
      <c r="AQ29" s="49"/>
      <c r="AR29" s="49"/>
      <c r="AS29" s="49"/>
      <c r="AT29" s="49"/>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5"/>
      <c r="BS29" s="45"/>
      <c r="BT29" s="45"/>
      <c r="BU29" s="45"/>
    </row>
    <row r="30" spans="1:73" ht="25.2" x14ac:dyDescent="0.45">
      <c r="A30" s="32"/>
      <c r="B30" s="32"/>
      <c r="C30" s="32"/>
      <c r="D30" s="32"/>
      <c r="E30" s="32"/>
      <c r="F30" s="32"/>
      <c r="G30" s="32"/>
      <c r="H30" s="32"/>
      <c r="I30" s="32"/>
      <c r="J30" s="32"/>
      <c r="K30" s="32"/>
      <c r="L30" s="32"/>
      <c r="M30" s="32"/>
      <c r="N30" s="32"/>
      <c r="O30" s="32"/>
      <c r="P30" s="32"/>
      <c r="Q30" s="32"/>
      <c r="R30" s="32"/>
      <c r="S30" s="32"/>
      <c r="T30" s="32"/>
      <c r="U30" s="32"/>
      <c r="V30" s="32"/>
      <c r="W30" s="32"/>
      <c r="X30" s="49" t="s">
        <v>30</v>
      </c>
      <c r="Y30" s="49"/>
      <c r="Z30" s="49"/>
      <c r="AA30" s="49"/>
      <c r="AB30" s="49"/>
      <c r="AC30" s="49"/>
      <c r="AD30" s="49"/>
      <c r="AE30" s="49"/>
      <c r="AF30" s="49"/>
      <c r="AG30" s="49"/>
      <c r="AH30" s="49"/>
      <c r="AI30" s="49"/>
      <c r="AJ30" s="49"/>
      <c r="AK30" s="49"/>
      <c r="AL30" s="49"/>
      <c r="AM30" s="49"/>
      <c r="AN30" s="49"/>
      <c r="AO30" s="49"/>
      <c r="AP30" s="49"/>
      <c r="AQ30" s="49"/>
      <c r="AR30" s="49"/>
      <c r="AS30" s="49"/>
      <c r="AT30" s="49"/>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5"/>
      <c r="BS30" s="45"/>
      <c r="BT30" s="45"/>
      <c r="BU30" s="45"/>
    </row>
    <row r="31" spans="1:73" ht="25.2" x14ac:dyDescent="0.45">
      <c r="A31" s="32"/>
      <c r="B31" s="32"/>
      <c r="C31" s="32"/>
      <c r="D31" s="32"/>
      <c r="E31" s="32"/>
      <c r="F31" s="32"/>
      <c r="G31" s="32"/>
      <c r="H31" s="32"/>
      <c r="I31" s="32"/>
      <c r="J31" s="32"/>
      <c r="K31" s="32"/>
      <c r="L31" s="32"/>
      <c r="M31" s="32"/>
      <c r="N31" s="32"/>
      <c r="O31" s="32"/>
      <c r="P31" s="32"/>
      <c r="Q31" s="32"/>
      <c r="R31" s="32"/>
      <c r="S31" s="32"/>
      <c r="T31" s="32"/>
      <c r="U31" s="32"/>
      <c r="V31" s="32"/>
      <c r="W31" s="32"/>
      <c r="X31" s="49" t="s">
        <v>30</v>
      </c>
      <c r="Y31" s="49"/>
      <c r="Z31" s="49"/>
      <c r="AA31" s="49"/>
      <c r="AB31" s="49"/>
      <c r="AC31" s="49"/>
      <c r="AD31" s="49"/>
      <c r="AE31" s="49"/>
      <c r="AF31" s="49"/>
      <c r="AG31" s="49"/>
      <c r="AH31" s="49"/>
      <c r="AI31" s="49"/>
      <c r="AJ31" s="49"/>
      <c r="AK31" s="49"/>
      <c r="AL31" s="49"/>
      <c r="AM31" s="49"/>
      <c r="AN31" s="49"/>
      <c r="AO31" s="49"/>
      <c r="AP31" s="49"/>
      <c r="AQ31" s="49"/>
      <c r="AR31" s="49"/>
      <c r="AS31" s="49"/>
      <c r="AT31" s="49"/>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5"/>
      <c r="BS31" s="45"/>
      <c r="BT31" s="45"/>
      <c r="BU31" s="45"/>
    </row>
    <row r="32" spans="1:73" ht="25.2" x14ac:dyDescent="0.45">
      <c r="A32" s="32"/>
      <c r="B32" s="32"/>
      <c r="C32" s="32"/>
      <c r="D32" s="32"/>
      <c r="E32" s="32"/>
      <c r="F32" s="32"/>
      <c r="G32" s="32"/>
      <c r="H32" s="32"/>
      <c r="I32" s="32"/>
      <c r="J32" s="32"/>
      <c r="K32" s="32"/>
      <c r="L32" s="32"/>
      <c r="M32" s="32"/>
      <c r="N32" s="32"/>
      <c r="O32" s="32"/>
      <c r="P32" s="32"/>
      <c r="Q32" s="32"/>
      <c r="R32" s="32"/>
      <c r="S32" s="32"/>
      <c r="T32" s="32"/>
      <c r="U32" s="32"/>
      <c r="V32" s="32"/>
      <c r="W32" s="32"/>
      <c r="X32" s="49" t="s">
        <v>30</v>
      </c>
      <c r="Y32" s="49"/>
      <c r="Z32" s="49"/>
      <c r="AA32" s="49"/>
      <c r="AB32" s="49"/>
      <c r="AC32" s="49"/>
      <c r="AD32" s="49"/>
      <c r="AE32" s="49"/>
      <c r="AF32" s="49"/>
      <c r="AG32" s="49"/>
      <c r="AH32" s="49"/>
      <c r="AI32" s="49"/>
      <c r="AJ32" s="49"/>
      <c r="AK32" s="49"/>
      <c r="AL32" s="49"/>
      <c r="AM32" s="49"/>
      <c r="AN32" s="49"/>
      <c r="AO32" s="49"/>
      <c r="AP32" s="49"/>
      <c r="AQ32" s="49"/>
      <c r="AR32" s="49"/>
      <c r="AS32" s="49"/>
      <c r="AT32" s="49"/>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5"/>
      <c r="BS32" s="45"/>
      <c r="BT32" s="45"/>
      <c r="BU32" s="45"/>
    </row>
    <row r="33" spans="1:73" ht="25.2" x14ac:dyDescent="0.45">
      <c r="A33" s="32"/>
      <c r="B33" s="32"/>
      <c r="C33" s="32"/>
      <c r="D33" s="32"/>
      <c r="E33" s="32"/>
      <c r="F33" s="32"/>
      <c r="G33" s="32"/>
      <c r="H33" s="32"/>
      <c r="I33" s="32"/>
      <c r="J33" s="32"/>
      <c r="K33" s="32"/>
      <c r="L33" s="32"/>
      <c r="M33" s="32"/>
      <c r="N33" s="32"/>
      <c r="O33" s="32"/>
      <c r="P33" s="32"/>
      <c r="Q33" s="32"/>
      <c r="R33" s="32"/>
      <c r="S33" s="32"/>
      <c r="T33" s="32"/>
      <c r="U33" s="32"/>
      <c r="V33" s="32"/>
      <c r="W33" s="32"/>
      <c r="X33" s="49" t="s">
        <v>30</v>
      </c>
      <c r="Y33" s="49"/>
      <c r="Z33" s="49"/>
      <c r="AA33" s="49"/>
      <c r="AB33" s="49"/>
      <c r="AC33" s="49"/>
      <c r="AD33" s="49"/>
      <c r="AE33" s="49"/>
      <c r="AF33" s="49"/>
      <c r="AG33" s="49"/>
      <c r="AH33" s="49"/>
      <c r="AI33" s="49"/>
      <c r="AJ33" s="49"/>
      <c r="AK33" s="49"/>
      <c r="AL33" s="49"/>
      <c r="AM33" s="49"/>
      <c r="AN33" s="49"/>
      <c r="AO33" s="49"/>
      <c r="AP33" s="49"/>
      <c r="AQ33" s="49"/>
      <c r="AR33" s="49"/>
      <c r="AS33" s="49"/>
      <c r="AT33" s="49"/>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5"/>
      <c r="BS33" s="45"/>
      <c r="BT33" s="45"/>
      <c r="BU33" s="45"/>
    </row>
    <row r="34" spans="1:73" ht="25.2" x14ac:dyDescent="0.45">
      <c r="A34" s="32"/>
      <c r="B34" s="32"/>
      <c r="C34" s="32"/>
      <c r="D34" s="32"/>
      <c r="E34" s="32"/>
      <c r="F34" s="32"/>
      <c r="G34" s="32"/>
      <c r="H34" s="32"/>
      <c r="I34" s="32"/>
      <c r="J34" s="32"/>
      <c r="K34" s="32"/>
      <c r="L34" s="32"/>
      <c r="M34" s="32"/>
      <c r="N34" s="32"/>
      <c r="O34" s="32"/>
      <c r="P34" s="32"/>
      <c r="Q34" s="32"/>
      <c r="R34" s="32"/>
      <c r="S34" s="32"/>
      <c r="T34" s="32"/>
      <c r="U34" s="32"/>
      <c r="V34" s="32"/>
      <c r="W34" s="32"/>
      <c r="X34" s="49" t="s">
        <v>30</v>
      </c>
      <c r="Y34" s="49"/>
      <c r="Z34" s="49"/>
      <c r="AA34" s="49"/>
      <c r="AB34" s="49"/>
      <c r="AC34" s="49"/>
      <c r="AD34" s="49"/>
      <c r="AE34" s="49"/>
      <c r="AF34" s="49"/>
      <c r="AG34" s="49"/>
      <c r="AH34" s="49"/>
      <c r="AI34" s="49"/>
      <c r="AJ34" s="49"/>
      <c r="AK34" s="49"/>
      <c r="AL34" s="49"/>
      <c r="AM34" s="49"/>
      <c r="AN34" s="49"/>
      <c r="AO34" s="49"/>
      <c r="AP34" s="49"/>
      <c r="AQ34" s="49"/>
      <c r="AR34" s="49"/>
      <c r="AS34" s="49"/>
      <c r="AT34" s="49"/>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5"/>
      <c r="BS34" s="45"/>
      <c r="BT34" s="45"/>
      <c r="BU34" s="45"/>
    </row>
    <row r="35" spans="1:73" ht="25.2" x14ac:dyDescent="0.45">
      <c r="A35" s="32"/>
      <c r="B35" s="32"/>
      <c r="C35" s="32"/>
      <c r="D35" s="32"/>
      <c r="E35" s="32"/>
      <c r="F35" s="32"/>
      <c r="G35" s="32"/>
      <c r="H35" s="32"/>
      <c r="I35" s="32"/>
      <c r="J35" s="32"/>
      <c r="K35" s="32"/>
      <c r="L35" s="32"/>
      <c r="M35" s="32"/>
      <c r="N35" s="32"/>
      <c r="O35" s="32"/>
      <c r="P35" s="32"/>
      <c r="Q35" s="32"/>
      <c r="R35" s="32"/>
      <c r="S35" s="32"/>
      <c r="T35" s="32"/>
      <c r="U35" s="32"/>
      <c r="V35" s="32"/>
      <c r="W35" s="32"/>
      <c r="X35" s="49" t="s">
        <v>30</v>
      </c>
      <c r="Y35" s="49"/>
      <c r="Z35" s="49"/>
      <c r="AA35" s="49"/>
      <c r="AB35" s="49"/>
      <c r="AC35" s="49"/>
      <c r="AD35" s="49"/>
      <c r="AE35" s="49"/>
      <c r="AF35" s="49"/>
      <c r="AG35" s="49"/>
      <c r="AH35" s="49"/>
      <c r="AI35" s="49"/>
      <c r="AJ35" s="49"/>
      <c r="AK35" s="49"/>
      <c r="AL35" s="49"/>
      <c r="AM35" s="49"/>
      <c r="AN35" s="49"/>
      <c r="AO35" s="49"/>
      <c r="AP35" s="49"/>
      <c r="AQ35" s="49"/>
      <c r="AR35" s="49"/>
      <c r="AS35" s="49"/>
      <c r="AT35" s="49"/>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5"/>
      <c r="BS35" s="45"/>
      <c r="BT35" s="45"/>
      <c r="BU35" s="45"/>
    </row>
    <row r="36" spans="1:73" ht="25.2" x14ac:dyDescent="0.45">
      <c r="A36" s="32"/>
      <c r="B36" s="32"/>
      <c r="C36" s="32"/>
      <c r="D36" s="32"/>
      <c r="E36" s="32"/>
      <c r="F36" s="32"/>
      <c r="G36" s="32"/>
      <c r="H36" s="32"/>
      <c r="I36" s="32"/>
      <c r="J36" s="32"/>
      <c r="K36" s="32"/>
      <c r="L36" s="32"/>
      <c r="M36" s="32"/>
      <c r="N36" s="32"/>
      <c r="O36" s="32"/>
      <c r="P36" s="32"/>
      <c r="Q36" s="32"/>
      <c r="R36" s="32"/>
      <c r="S36" s="32"/>
      <c r="T36" s="32"/>
      <c r="U36" s="32"/>
      <c r="V36" s="32"/>
      <c r="W36" s="32"/>
      <c r="X36" s="49" t="s">
        <v>30</v>
      </c>
      <c r="Y36" s="49"/>
      <c r="Z36" s="49"/>
      <c r="AA36" s="49"/>
      <c r="AB36" s="49"/>
      <c r="AC36" s="49"/>
      <c r="AD36" s="49"/>
      <c r="AE36" s="49"/>
      <c r="AF36" s="49"/>
      <c r="AG36" s="49"/>
      <c r="AH36" s="49"/>
      <c r="AI36" s="49"/>
      <c r="AJ36" s="49"/>
      <c r="AK36" s="49"/>
      <c r="AL36" s="49"/>
      <c r="AM36" s="49"/>
      <c r="AN36" s="49"/>
      <c r="AO36" s="49"/>
      <c r="AP36" s="49"/>
      <c r="AQ36" s="49"/>
      <c r="AR36" s="49"/>
      <c r="AS36" s="49"/>
      <c r="AT36" s="49"/>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5"/>
      <c r="BS36" s="45"/>
      <c r="BT36" s="45"/>
      <c r="BU36" s="45"/>
    </row>
    <row r="37" spans="1:73" ht="25.2" x14ac:dyDescent="0.45">
      <c r="A37" s="32"/>
      <c r="B37" s="32"/>
      <c r="C37" s="32"/>
      <c r="D37" s="32"/>
      <c r="E37" s="32"/>
      <c r="F37" s="32"/>
      <c r="G37" s="32"/>
      <c r="H37" s="32"/>
      <c r="I37" s="32"/>
      <c r="J37" s="32"/>
      <c r="K37" s="32"/>
      <c r="L37" s="32"/>
      <c r="M37" s="32"/>
      <c r="N37" s="32"/>
      <c r="O37" s="32"/>
      <c r="P37" s="32"/>
      <c r="Q37" s="32"/>
      <c r="R37" s="32"/>
      <c r="S37" s="32"/>
      <c r="T37" s="32"/>
      <c r="U37" s="32"/>
      <c r="V37" s="32"/>
      <c r="W37" s="32"/>
      <c r="X37" s="49" t="s">
        <v>30</v>
      </c>
      <c r="Y37" s="49"/>
      <c r="Z37" s="49"/>
      <c r="AA37" s="49"/>
      <c r="AB37" s="49"/>
      <c r="AC37" s="49"/>
      <c r="AD37" s="49"/>
      <c r="AE37" s="49"/>
      <c r="AF37" s="49"/>
      <c r="AG37" s="49"/>
      <c r="AH37" s="49"/>
      <c r="AI37" s="49"/>
      <c r="AJ37" s="49"/>
      <c r="AK37" s="49"/>
      <c r="AL37" s="49"/>
      <c r="AM37" s="49"/>
      <c r="AN37" s="49"/>
      <c r="AO37" s="49"/>
      <c r="AP37" s="49"/>
      <c r="AQ37" s="49"/>
      <c r="AR37" s="49"/>
      <c r="AS37" s="49"/>
      <c r="AT37" s="49"/>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5"/>
      <c r="BS37" s="45"/>
      <c r="BT37" s="45"/>
      <c r="BU37" s="45"/>
    </row>
    <row r="38" spans="1:73" ht="25.2" x14ac:dyDescent="0.45">
      <c r="A38" s="32"/>
      <c r="B38" s="32"/>
      <c r="C38" s="32"/>
      <c r="D38" s="32"/>
      <c r="E38" s="32"/>
      <c r="F38" s="32"/>
      <c r="G38" s="32"/>
      <c r="H38" s="32"/>
      <c r="I38" s="32"/>
      <c r="J38" s="32"/>
      <c r="K38" s="32"/>
      <c r="L38" s="32"/>
      <c r="M38" s="32"/>
      <c r="N38" s="32"/>
      <c r="O38" s="32"/>
      <c r="P38" s="32"/>
      <c r="Q38" s="32"/>
      <c r="R38" s="32"/>
      <c r="S38" s="32"/>
      <c r="T38" s="32"/>
      <c r="U38" s="32"/>
      <c r="V38" s="32"/>
      <c r="W38" s="32"/>
      <c r="X38" s="49" t="s">
        <v>30</v>
      </c>
      <c r="Y38" s="49"/>
      <c r="Z38" s="49"/>
      <c r="AA38" s="49"/>
      <c r="AB38" s="49"/>
      <c r="AC38" s="49"/>
      <c r="AD38" s="49"/>
      <c r="AE38" s="49"/>
      <c r="AF38" s="49"/>
      <c r="AG38" s="49"/>
      <c r="AH38" s="49"/>
      <c r="AI38" s="49"/>
      <c r="AJ38" s="49"/>
      <c r="AK38" s="49"/>
      <c r="AL38" s="49"/>
      <c r="AM38" s="49"/>
      <c r="AN38" s="49"/>
      <c r="AO38" s="49"/>
      <c r="AP38" s="49"/>
      <c r="AQ38" s="49"/>
      <c r="AR38" s="49"/>
      <c r="AS38" s="49"/>
      <c r="AT38" s="49"/>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5"/>
      <c r="BS38" s="45"/>
      <c r="BT38" s="45"/>
      <c r="BU38" s="45"/>
    </row>
    <row r="39" spans="1:73" ht="25.2" x14ac:dyDescent="0.45">
      <c r="A39" s="32"/>
      <c r="B39" s="32"/>
      <c r="C39" s="32"/>
      <c r="D39" s="32"/>
      <c r="E39" s="32"/>
      <c r="F39" s="32"/>
      <c r="G39" s="32"/>
      <c r="H39" s="32"/>
      <c r="I39" s="32"/>
      <c r="J39" s="32"/>
      <c r="K39" s="32"/>
      <c r="L39" s="32"/>
      <c r="M39" s="32"/>
      <c r="N39" s="32"/>
      <c r="O39" s="32"/>
      <c r="P39" s="32"/>
      <c r="Q39" s="32"/>
      <c r="R39" s="32"/>
      <c r="S39" s="32"/>
      <c r="T39" s="32"/>
      <c r="U39" s="32"/>
      <c r="V39" s="32"/>
      <c r="W39" s="32"/>
      <c r="X39" s="49" t="s">
        <v>30</v>
      </c>
      <c r="Y39" s="49"/>
      <c r="Z39" s="49"/>
      <c r="AA39" s="49"/>
      <c r="AB39" s="49"/>
      <c r="AC39" s="49"/>
      <c r="AD39" s="49"/>
      <c r="AE39" s="49"/>
      <c r="AF39" s="49"/>
      <c r="AG39" s="49"/>
      <c r="AH39" s="49"/>
      <c r="AI39" s="49"/>
      <c r="AJ39" s="49"/>
      <c r="AK39" s="49"/>
      <c r="AL39" s="49"/>
      <c r="AM39" s="49"/>
      <c r="AN39" s="49"/>
      <c r="AO39" s="49"/>
      <c r="AP39" s="49"/>
      <c r="AQ39" s="49"/>
      <c r="AR39" s="49"/>
      <c r="AS39" s="49"/>
      <c r="AT39" s="49"/>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5"/>
      <c r="BS39" s="45"/>
      <c r="BT39" s="45"/>
      <c r="BU39" s="45"/>
    </row>
    <row r="40" spans="1:73" ht="25.2" x14ac:dyDescent="0.45">
      <c r="A40" s="32"/>
      <c r="B40" s="32"/>
      <c r="C40" s="32"/>
      <c r="D40" s="32"/>
      <c r="E40" s="32"/>
      <c r="F40" s="32"/>
      <c r="G40" s="32"/>
      <c r="H40" s="32"/>
      <c r="I40" s="32"/>
      <c r="J40" s="32"/>
      <c r="K40" s="32"/>
      <c r="L40" s="32"/>
      <c r="M40" s="32"/>
      <c r="N40" s="32"/>
      <c r="O40" s="32"/>
      <c r="P40" s="32"/>
      <c r="Q40" s="32"/>
      <c r="R40" s="32"/>
      <c r="S40" s="32"/>
      <c r="T40" s="32"/>
      <c r="U40" s="32"/>
      <c r="V40" s="32"/>
      <c r="W40" s="32"/>
      <c r="X40" s="49" t="s">
        <v>30</v>
      </c>
      <c r="Y40" s="49"/>
      <c r="Z40" s="49"/>
      <c r="AA40" s="49"/>
      <c r="AB40" s="49"/>
      <c r="AC40" s="49"/>
      <c r="AD40" s="49"/>
      <c r="AE40" s="49"/>
      <c r="AF40" s="49"/>
      <c r="AG40" s="49"/>
      <c r="AH40" s="49"/>
      <c r="AI40" s="49"/>
      <c r="AJ40" s="49"/>
      <c r="AK40" s="49"/>
      <c r="AL40" s="49"/>
      <c r="AM40" s="49"/>
      <c r="AN40" s="49"/>
      <c r="AO40" s="49"/>
      <c r="AP40" s="49"/>
      <c r="AQ40" s="49"/>
      <c r="AR40" s="49"/>
      <c r="AS40" s="49"/>
      <c r="AT40" s="49"/>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5"/>
      <c r="BS40" s="45"/>
      <c r="BT40" s="45"/>
      <c r="BU40" s="45"/>
    </row>
    <row r="41" spans="1:73" ht="25.2" x14ac:dyDescent="0.45">
      <c r="A41" s="32"/>
      <c r="B41" s="32"/>
      <c r="C41" s="32"/>
      <c r="D41" s="32"/>
      <c r="E41" s="32"/>
      <c r="F41" s="32"/>
      <c r="G41" s="32"/>
      <c r="H41" s="32"/>
      <c r="I41" s="32"/>
      <c r="J41" s="32"/>
      <c r="K41" s="32"/>
      <c r="L41" s="32"/>
      <c r="M41" s="32"/>
      <c r="N41" s="32"/>
      <c r="O41" s="32"/>
      <c r="P41" s="32"/>
      <c r="Q41" s="32"/>
      <c r="R41" s="32"/>
      <c r="S41" s="32"/>
      <c r="T41" s="32"/>
      <c r="U41" s="32"/>
      <c r="V41" s="32"/>
      <c r="W41" s="32"/>
      <c r="X41" s="49" t="s">
        <v>30</v>
      </c>
      <c r="Y41" s="49"/>
      <c r="Z41" s="49"/>
      <c r="AA41" s="49"/>
      <c r="AB41" s="49"/>
      <c r="AC41" s="49"/>
      <c r="AD41" s="49"/>
      <c r="AE41" s="49"/>
      <c r="AF41" s="49"/>
      <c r="AG41" s="49"/>
      <c r="AH41" s="49"/>
      <c r="AI41" s="49"/>
      <c r="AJ41" s="49"/>
      <c r="AK41" s="49"/>
      <c r="AL41" s="49"/>
      <c r="AM41" s="49"/>
      <c r="AN41" s="49"/>
      <c r="AO41" s="49"/>
      <c r="AP41" s="49"/>
      <c r="AQ41" s="49"/>
      <c r="AR41" s="49"/>
      <c r="AS41" s="49"/>
      <c r="AT41" s="49"/>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5"/>
      <c r="BS41" s="45"/>
      <c r="BT41" s="45"/>
      <c r="BU41" s="45"/>
    </row>
    <row r="42" spans="1:73" ht="25.2" x14ac:dyDescent="0.45">
      <c r="A42" s="32"/>
      <c r="B42" s="32"/>
      <c r="C42" s="32"/>
      <c r="D42" s="32"/>
      <c r="E42" s="32"/>
      <c r="F42" s="32"/>
      <c r="G42" s="32"/>
      <c r="H42" s="32"/>
      <c r="I42" s="32"/>
      <c r="J42" s="32"/>
      <c r="K42" s="32"/>
      <c r="L42" s="32"/>
      <c r="M42" s="32"/>
      <c r="N42" s="32"/>
      <c r="O42" s="32"/>
      <c r="P42" s="32"/>
      <c r="Q42" s="32"/>
      <c r="R42" s="32"/>
      <c r="S42" s="32"/>
      <c r="T42" s="32"/>
      <c r="U42" s="32"/>
      <c r="V42" s="32"/>
      <c r="W42" s="32"/>
      <c r="X42" s="49" t="s">
        <v>30</v>
      </c>
      <c r="Y42" s="49"/>
      <c r="Z42" s="49"/>
      <c r="AA42" s="49"/>
      <c r="AB42" s="49"/>
      <c r="AC42" s="49"/>
      <c r="AD42" s="49"/>
      <c r="AE42" s="49"/>
      <c r="AF42" s="49"/>
      <c r="AG42" s="49"/>
      <c r="AH42" s="49"/>
      <c r="AI42" s="49"/>
      <c r="AJ42" s="49"/>
      <c r="AK42" s="49"/>
      <c r="AL42" s="49"/>
      <c r="AM42" s="49"/>
      <c r="AN42" s="49"/>
      <c r="AO42" s="49"/>
      <c r="AP42" s="49"/>
      <c r="AQ42" s="49"/>
      <c r="AR42" s="49"/>
      <c r="AS42" s="49"/>
      <c r="AT42" s="49"/>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5"/>
      <c r="BS42" s="45"/>
      <c r="BT42" s="45"/>
      <c r="BU42" s="45"/>
    </row>
    <row r="43" spans="1:73" ht="25.2" x14ac:dyDescent="0.45">
      <c r="A43" s="32"/>
      <c r="B43" s="32"/>
      <c r="C43" s="32"/>
      <c r="D43" s="32"/>
      <c r="E43" s="32"/>
      <c r="F43" s="32"/>
      <c r="G43" s="32"/>
      <c r="H43" s="32"/>
      <c r="I43" s="32"/>
      <c r="J43" s="32"/>
      <c r="K43" s="32"/>
      <c r="L43" s="32"/>
      <c r="M43" s="32"/>
      <c r="N43" s="32"/>
      <c r="O43" s="32"/>
      <c r="P43" s="32"/>
      <c r="Q43" s="32"/>
      <c r="R43" s="32"/>
      <c r="S43" s="32"/>
      <c r="T43" s="32"/>
      <c r="U43" s="32"/>
      <c r="V43" s="32"/>
      <c r="W43" s="32"/>
      <c r="X43" s="49" t="s">
        <v>30</v>
      </c>
      <c r="Y43" s="49"/>
      <c r="Z43" s="49"/>
      <c r="AA43" s="49"/>
      <c r="AB43" s="49"/>
      <c r="AC43" s="49"/>
      <c r="AD43" s="49"/>
      <c r="AE43" s="49"/>
      <c r="AF43" s="49"/>
      <c r="AG43" s="49"/>
      <c r="AH43" s="49"/>
      <c r="AI43" s="49"/>
      <c r="AJ43" s="49"/>
      <c r="AK43" s="49"/>
      <c r="AL43" s="49"/>
      <c r="AM43" s="49"/>
      <c r="AN43" s="49"/>
      <c r="AO43" s="49"/>
      <c r="AP43" s="49"/>
      <c r="AQ43" s="49"/>
      <c r="AR43" s="49"/>
      <c r="AS43" s="49"/>
      <c r="AT43" s="49"/>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5"/>
      <c r="BS43" s="45"/>
      <c r="BT43" s="45"/>
      <c r="BU43" s="45"/>
    </row>
    <row r="44" spans="1:73" ht="25.2" x14ac:dyDescent="0.45">
      <c r="A44" s="32"/>
      <c r="B44" s="32"/>
      <c r="C44" s="32"/>
      <c r="D44" s="32"/>
      <c r="E44" s="32"/>
      <c r="F44" s="32"/>
      <c r="G44" s="32"/>
      <c r="H44" s="32"/>
      <c r="I44" s="32"/>
      <c r="J44" s="32"/>
      <c r="K44" s="32"/>
      <c r="L44" s="32"/>
      <c r="M44" s="32"/>
      <c r="N44" s="32"/>
      <c r="O44" s="32"/>
      <c r="P44" s="32"/>
      <c r="Q44" s="32"/>
      <c r="R44" s="32"/>
      <c r="S44" s="32"/>
      <c r="T44" s="32"/>
      <c r="U44" s="32"/>
      <c r="V44" s="32"/>
      <c r="W44" s="32"/>
      <c r="X44" s="49" t="s">
        <v>30</v>
      </c>
      <c r="Y44" s="49"/>
      <c r="Z44" s="49"/>
      <c r="AA44" s="49"/>
      <c r="AB44" s="49"/>
      <c r="AC44" s="49"/>
      <c r="AD44" s="49"/>
      <c r="AE44" s="49"/>
      <c r="AF44" s="49"/>
      <c r="AG44" s="49"/>
      <c r="AH44" s="49"/>
      <c r="AI44" s="49"/>
      <c r="AJ44" s="49"/>
      <c r="AK44" s="49"/>
      <c r="AL44" s="49"/>
      <c r="AM44" s="49"/>
      <c r="AN44" s="49"/>
      <c r="AO44" s="49"/>
      <c r="AP44" s="49"/>
      <c r="AQ44" s="49"/>
      <c r="AR44" s="49"/>
      <c r="AS44" s="49"/>
      <c r="AT44" s="49"/>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5"/>
      <c r="BS44" s="45"/>
      <c r="BT44" s="45"/>
      <c r="BU44" s="45"/>
    </row>
    <row r="45" spans="1:73" ht="25.2" x14ac:dyDescent="0.45">
      <c r="A45" s="32"/>
      <c r="B45" s="32"/>
      <c r="C45" s="32"/>
      <c r="D45" s="32"/>
      <c r="E45" s="32"/>
      <c r="F45" s="32"/>
      <c r="G45" s="32"/>
      <c r="H45" s="32"/>
      <c r="I45" s="32"/>
      <c r="J45" s="32"/>
      <c r="K45" s="32"/>
      <c r="L45" s="32"/>
      <c r="M45" s="32"/>
      <c r="N45" s="32"/>
      <c r="O45" s="32"/>
      <c r="P45" s="32"/>
      <c r="Q45" s="32"/>
      <c r="R45" s="32"/>
      <c r="S45" s="32"/>
      <c r="T45" s="32"/>
      <c r="U45" s="32"/>
      <c r="V45" s="32"/>
      <c r="W45" s="32"/>
      <c r="X45" s="49" t="s">
        <v>30</v>
      </c>
      <c r="Y45" s="49"/>
      <c r="Z45" s="49"/>
      <c r="AA45" s="49"/>
      <c r="AB45" s="49"/>
      <c r="AC45" s="49"/>
      <c r="AD45" s="49"/>
      <c r="AE45" s="49"/>
      <c r="AF45" s="49"/>
      <c r="AG45" s="49"/>
      <c r="AH45" s="49"/>
      <c r="AI45" s="49"/>
      <c r="AJ45" s="49"/>
      <c r="AK45" s="49"/>
      <c r="AL45" s="49"/>
      <c r="AM45" s="49"/>
      <c r="AN45" s="49"/>
      <c r="AO45" s="49"/>
      <c r="AP45" s="49"/>
      <c r="AQ45" s="49"/>
      <c r="AR45" s="49"/>
      <c r="AS45" s="49"/>
      <c r="AT45" s="49"/>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5"/>
      <c r="BS45" s="45"/>
      <c r="BT45" s="45"/>
      <c r="BU45" s="45"/>
    </row>
    <row r="46" spans="1:73" ht="25.2" x14ac:dyDescent="0.45">
      <c r="A46" s="32"/>
      <c r="B46" s="32"/>
      <c r="C46" s="32"/>
      <c r="D46" s="32"/>
      <c r="E46" s="32"/>
      <c r="F46" s="32"/>
      <c r="G46" s="32"/>
      <c r="H46" s="32"/>
      <c r="I46" s="32"/>
      <c r="J46" s="32"/>
      <c r="K46" s="32"/>
      <c r="L46" s="32"/>
      <c r="M46" s="32"/>
      <c r="N46" s="32"/>
      <c r="O46" s="32"/>
      <c r="P46" s="32"/>
      <c r="Q46" s="32"/>
      <c r="R46" s="32"/>
      <c r="S46" s="32"/>
      <c r="T46" s="32"/>
      <c r="U46" s="32"/>
      <c r="V46" s="32"/>
      <c r="W46" s="32"/>
      <c r="X46" s="49" t="s">
        <v>30</v>
      </c>
      <c r="Y46" s="49"/>
      <c r="Z46" s="49"/>
      <c r="AA46" s="49"/>
      <c r="AB46" s="49"/>
      <c r="AC46" s="49"/>
      <c r="AD46" s="49"/>
      <c r="AE46" s="49"/>
      <c r="AF46" s="49"/>
      <c r="AG46" s="49"/>
      <c r="AH46" s="49"/>
      <c r="AI46" s="49"/>
      <c r="AJ46" s="49"/>
      <c r="AK46" s="49"/>
      <c r="AL46" s="49"/>
      <c r="AM46" s="49"/>
      <c r="AN46" s="49"/>
      <c r="AO46" s="49"/>
      <c r="AP46" s="49"/>
      <c r="AQ46" s="49"/>
      <c r="AR46" s="49"/>
      <c r="AS46" s="49"/>
      <c r="AT46" s="49"/>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5"/>
      <c r="BS46" s="45"/>
      <c r="BT46" s="45"/>
      <c r="BU46" s="45"/>
    </row>
    <row r="47" spans="1:73" ht="25.2" x14ac:dyDescent="0.45">
      <c r="A47" s="32"/>
      <c r="B47" s="32"/>
      <c r="C47" s="32"/>
      <c r="D47" s="32"/>
      <c r="E47" s="32"/>
      <c r="F47" s="32"/>
      <c r="G47" s="32"/>
      <c r="H47" s="32"/>
      <c r="I47" s="32"/>
      <c r="J47" s="32"/>
      <c r="K47" s="32"/>
      <c r="L47" s="32"/>
      <c r="M47" s="32"/>
      <c r="N47" s="32"/>
      <c r="O47" s="32"/>
      <c r="P47" s="32"/>
      <c r="Q47" s="32"/>
      <c r="R47" s="32"/>
      <c r="S47" s="32"/>
      <c r="T47" s="32"/>
      <c r="U47" s="32"/>
      <c r="V47" s="32"/>
      <c r="W47" s="32"/>
      <c r="X47" s="49" t="s">
        <v>30</v>
      </c>
      <c r="Y47" s="49"/>
      <c r="Z47" s="49"/>
      <c r="AA47" s="49"/>
      <c r="AB47" s="49"/>
      <c r="AC47" s="49"/>
      <c r="AD47" s="49"/>
      <c r="AE47" s="49"/>
      <c r="AF47" s="49"/>
      <c r="AG47" s="49"/>
      <c r="AH47" s="49"/>
      <c r="AI47" s="49"/>
      <c r="AJ47" s="49"/>
      <c r="AK47" s="49"/>
      <c r="AL47" s="49"/>
      <c r="AM47" s="49"/>
      <c r="AN47" s="49"/>
      <c r="AO47" s="49"/>
      <c r="AP47" s="49"/>
      <c r="AQ47" s="49"/>
      <c r="AR47" s="49"/>
      <c r="AS47" s="49"/>
      <c r="AT47" s="49"/>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5"/>
      <c r="BS47" s="45"/>
      <c r="BT47" s="45"/>
      <c r="BU47" s="45"/>
    </row>
    <row r="48" spans="1:73" ht="25.2" x14ac:dyDescent="0.45">
      <c r="A48" s="32"/>
      <c r="B48" s="32"/>
      <c r="C48" s="32"/>
      <c r="D48" s="32"/>
      <c r="E48" s="32"/>
      <c r="F48" s="32"/>
      <c r="G48" s="32"/>
      <c r="H48" s="32"/>
      <c r="I48" s="32"/>
      <c r="J48" s="32"/>
      <c r="K48" s="32"/>
      <c r="L48" s="32"/>
      <c r="M48" s="32"/>
      <c r="N48" s="32"/>
      <c r="O48" s="32"/>
      <c r="P48" s="32"/>
      <c r="Q48" s="32"/>
      <c r="R48" s="32"/>
      <c r="S48" s="32"/>
      <c r="T48" s="32"/>
      <c r="U48" s="32"/>
      <c r="V48" s="32"/>
      <c r="W48" s="32"/>
      <c r="X48" s="49" t="s">
        <v>30</v>
      </c>
      <c r="Y48" s="49"/>
      <c r="Z48" s="49"/>
      <c r="AA48" s="49"/>
      <c r="AB48" s="49"/>
      <c r="AC48" s="49"/>
      <c r="AD48" s="49"/>
      <c r="AE48" s="49"/>
      <c r="AF48" s="49"/>
      <c r="AG48" s="49"/>
      <c r="AH48" s="49"/>
      <c r="AI48" s="49"/>
      <c r="AJ48" s="49"/>
      <c r="AK48" s="49"/>
      <c r="AL48" s="49"/>
      <c r="AM48" s="49"/>
      <c r="AN48" s="49"/>
      <c r="AO48" s="49"/>
      <c r="AP48" s="49"/>
      <c r="AQ48" s="49"/>
      <c r="AR48" s="49"/>
      <c r="AS48" s="49"/>
      <c r="AT48" s="49"/>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5"/>
      <c r="BS48" s="45"/>
      <c r="BT48" s="45"/>
      <c r="BU48" s="45"/>
    </row>
    <row r="49" spans="1:73" ht="25.2" x14ac:dyDescent="0.45">
      <c r="A49" s="32"/>
      <c r="B49" s="32"/>
      <c r="C49" s="32"/>
      <c r="D49" s="32"/>
      <c r="E49" s="32"/>
      <c r="F49" s="32"/>
      <c r="G49" s="32"/>
      <c r="H49" s="32"/>
      <c r="I49" s="32"/>
      <c r="J49" s="32"/>
      <c r="K49" s="32"/>
      <c r="L49" s="32"/>
      <c r="M49" s="32"/>
      <c r="N49" s="32"/>
      <c r="O49" s="32"/>
      <c r="P49" s="32"/>
      <c r="Q49" s="32"/>
      <c r="R49" s="32"/>
      <c r="S49" s="32"/>
      <c r="T49" s="32"/>
      <c r="U49" s="32"/>
      <c r="V49" s="32"/>
      <c r="W49" s="32"/>
      <c r="X49" s="49" t="s">
        <v>30</v>
      </c>
      <c r="Y49" s="49"/>
      <c r="Z49" s="49"/>
      <c r="AA49" s="49"/>
      <c r="AB49" s="49"/>
      <c r="AC49" s="49"/>
      <c r="AD49" s="49"/>
      <c r="AE49" s="49"/>
      <c r="AF49" s="49"/>
      <c r="AG49" s="49"/>
      <c r="AH49" s="49"/>
      <c r="AI49" s="49"/>
      <c r="AJ49" s="49"/>
      <c r="AK49" s="49"/>
      <c r="AL49" s="49"/>
      <c r="AM49" s="49"/>
      <c r="AN49" s="49"/>
      <c r="AO49" s="49"/>
      <c r="AP49" s="49"/>
      <c r="AQ49" s="49"/>
      <c r="AR49" s="49"/>
      <c r="AS49" s="49"/>
      <c r="AT49" s="49"/>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5"/>
      <c r="BS49" s="45"/>
      <c r="BT49" s="45"/>
      <c r="BU49" s="45"/>
    </row>
    <row r="50" spans="1:73" ht="25.2" x14ac:dyDescent="0.45">
      <c r="A50" s="32"/>
      <c r="B50" s="32"/>
      <c r="C50" s="32"/>
      <c r="D50" s="32"/>
      <c r="E50" s="32"/>
      <c r="F50" s="32"/>
      <c r="G50" s="32"/>
      <c r="H50" s="32"/>
      <c r="I50" s="32"/>
      <c r="J50" s="32"/>
      <c r="K50" s="32"/>
      <c r="L50" s="32"/>
      <c r="M50" s="32"/>
      <c r="N50" s="32"/>
      <c r="O50" s="32"/>
      <c r="P50" s="32"/>
      <c r="Q50" s="32"/>
      <c r="R50" s="32"/>
      <c r="S50" s="32"/>
      <c r="T50" s="32"/>
      <c r="U50" s="32"/>
      <c r="V50" s="32"/>
      <c r="W50" s="32"/>
      <c r="X50" s="49" t="s">
        <v>30</v>
      </c>
      <c r="Y50" s="49"/>
      <c r="Z50" s="49"/>
      <c r="AA50" s="49"/>
      <c r="AB50" s="49"/>
      <c r="AC50" s="49"/>
      <c r="AD50" s="49"/>
      <c r="AE50" s="49"/>
      <c r="AF50" s="49"/>
      <c r="AG50" s="49"/>
      <c r="AH50" s="49"/>
      <c r="AI50" s="49"/>
      <c r="AJ50" s="49"/>
      <c r="AK50" s="49"/>
      <c r="AL50" s="49"/>
      <c r="AM50" s="49"/>
      <c r="AN50" s="49"/>
      <c r="AO50" s="49"/>
      <c r="AP50" s="49"/>
      <c r="AQ50" s="49"/>
      <c r="AR50" s="49"/>
      <c r="AS50" s="49"/>
      <c r="AT50" s="49"/>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5"/>
      <c r="BS50" s="45"/>
      <c r="BT50" s="45"/>
      <c r="BU50" s="45"/>
    </row>
    <row r="51" spans="1:73" ht="25.2" x14ac:dyDescent="0.45">
      <c r="A51" s="32"/>
      <c r="B51" s="32"/>
      <c r="C51" s="32"/>
      <c r="D51" s="32"/>
      <c r="E51" s="32"/>
      <c r="F51" s="32"/>
      <c r="G51" s="32"/>
      <c r="H51" s="32"/>
      <c r="I51" s="32"/>
      <c r="J51" s="32"/>
      <c r="K51" s="32"/>
      <c r="L51" s="32"/>
      <c r="M51" s="32"/>
      <c r="N51" s="32"/>
      <c r="O51" s="32"/>
      <c r="P51" s="32"/>
      <c r="Q51" s="32"/>
      <c r="R51" s="32"/>
      <c r="S51" s="32"/>
      <c r="T51" s="32"/>
      <c r="U51" s="32"/>
      <c r="V51" s="32"/>
      <c r="W51" s="32"/>
      <c r="X51" s="49" t="s">
        <v>30</v>
      </c>
      <c r="Y51" s="49"/>
      <c r="Z51" s="49"/>
      <c r="AA51" s="49"/>
      <c r="AB51" s="49"/>
      <c r="AC51" s="49"/>
      <c r="AD51" s="49"/>
      <c r="AE51" s="49"/>
      <c r="AF51" s="49"/>
      <c r="AG51" s="49"/>
      <c r="AH51" s="49"/>
      <c r="AI51" s="49"/>
      <c r="AJ51" s="49"/>
      <c r="AK51" s="49"/>
      <c r="AL51" s="49"/>
      <c r="AM51" s="49"/>
      <c r="AN51" s="49"/>
      <c r="AO51" s="49"/>
      <c r="AP51" s="49"/>
      <c r="AQ51" s="49"/>
      <c r="AR51" s="49"/>
      <c r="AS51" s="49"/>
      <c r="AT51" s="49"/>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5"/>
      <c r="BS51" s="45"/>
      <c r="BT51" s="45"/>
      <c r="BU51" s="45"/>
    </row>
    <row r="52" spans="1:73" ht="25.2" x14ac:dyDescent="0.45">
      <c r="A52" s="32"/>
      <c r="B52" s="32"/>
      <c r="C52" s="32"/>
      <c r="D52" s="32"/>
      <c r="E52" s="32"/>
      <c r="F52" s="32"/>
      <c r="G52" s="32"/>
      <c r="H52" s="32"/>
      <c r="I52" s="32"/>
      <c r="J52" s="32"/>
      <c r="K52" s="32"/>
      <c r="L52" s="32"/>
      <c r="M52" s="32"/>
      <c r="N52" s="32"/>
      <c r="O52" s="32"/>
      <c r="P52" s="32"/>
      <c r="Q52" s="32"/>
      <c r="R52" s="32"/>
      <c r="S52" s="32"/>
      <c r="T52" s="32"/>
      <c r="U52" s="32"/>
      <c r="V52" s="32"/>
      <c r="W52" s="32"/>
      <c r="X52" s="49" t="s">
        <v>30</v>
      </c>
      <c r="Y52" s="49"/>
      <c r="Z52" s="49"/>
      <c r="AA52" s="49"/>
      <c r="AB52" s="49"/>
      <c r="AC52" s="49"/>
      <c r="AD52" s="49"/>
      <c r="AE52" s="49"/>
      <c r="AF52" s="49"/>
      <c r="AG52" s="49"/>
      <c r="AH52" s="49"/>
      <c r="AI52" s="49"/>
      <c r="AJ52" s="49"/>
      <c r="AK52" s="49"/>
      <c r="AL52" s="49"/>
      <c r="AM52" s="49"/>
      <c r="AN52" s="49"/>
      <c r="AO52" s="49"/>
      <c r="AP52" s="49"/>
      <c r="AQ52" s="49"/>
      <c r="AR52" s="49"/>
      <c r="AS52" s="49"/>
      <c r="AT52" s="49"/>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5"/>
      <c r="BS52" s="45"/>
      <c r="BT52" s="45"/>
      <c r="BU52" s="45"/>
    </row>
    <row r="53" spans="1:73" ht="25.2" x14ac:dyDescent="0.45">
      <c r="A53" s="32"/>
      <c r="B53" s="32"/>
      <c r="C53" s="32"/>
      <c r="D53" s="32"/>
      <c r="E53" s="32"/>
      <c r="F53" s="32"/>
      <c r="G53" s="32"/>
      <c r="H53" s="32"/>
      <c r="I53" s="32"/>
      <c r="J53" s="32"/>
      <c r="K53" s="32"/>
      <c r="L53" s="32"/>
      <c r="M53" s="32"/>
      <c r="N53" s="32"/>
      <c r="O53" s="32"/>
      <c r="P53" s="32"/>
      <c r="Q53" s="32"/>
      <c r="R53" s="32"/>
      <c r="S53" s="32"/>
      <c r="T53" s="32"/>
      <c r="U53" s="32"/>
      <c r="V53" s="32"/>
      <c r="W53" s="32"/>
      <c r="X53" s="49" t="s">
        <v>30</v>
      </c>
      <c r="Y53" s="49"/>
      <c r="Z53" s="49"/>
      <c r="AA53" s="49"/>
      <c r="AB53" s="49"/>
      <c r="AC53" s="49"/>
      <c r="AD53" s="49"/>
      <c r="AE53" s="49"/>
      <c r="AF53" s="49"/>
      <c r="AG53" s="49"/>
      <c r="AH53" s="49"/>
      <c r="AI53" s="49"/>
      <c r="AJ53" s="49"/>
      <c r="AK53" s="49"/>
      <c r="AL53" s="49"/>
      <c r="AM53" s="49"/>
      <c r="AN53" s="49"/>
      <c r="AO53" s="49"/>
      <c r="AP53" s="49"/>
      <c r="AQ53" s="49"/>
      <c r="AR53" s="49"/>
      <c r="AS53" s="49"/>
      <c r="AT53" s="49"/>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5"/>
      <c r="BS53" s="45"/>
      <c r="BT53" s="45"/>
      <c r="BU53" s="45"/>
    </row>
    <row r="54" spans="1:73" ht="25.2" x14ac:dyDescent="0.45">
      <c r="A54" s="32"/>
      <c r="B54" s="32"/>
      <c r="C54" s="32"/>
      <c r="D54" s="32"/>
      <c r="E54" s="32"/>
      <c r="F54" s="32"/>
      <c r="G54" s="32"/>
      <c r="H54" s="32"/>
      <c r="I54" s="32"/>
      <c r="J54" s="32"/>
      <c r="K54" s="32"/>
      <c r="L54" s="32"/>
      <c r="M54" s="32"/>
      <c r="N54" s="32"/>
      <c r="O54" s="32"/>
      <c r="P54" s="32"/>
      <c r="Q54" s="32"/>
      <c r="R54" s="32"/>
      <c r="S54" s="32"/>
      <c r="T54" s="32"/>
      <c r="U54" s="32"/>
      <c r="V54" s="32"/>
      <c r="W54" s="32"/>
      <c r="X54" s="49" t="s">
        <v>30</v>
      </c>
      <c r="Y54" s="49"/>
      <c r="Z54" s="49"/>
      <c r="AA54" s="49"/>
      <c r="AB54" s="49"/>
      <c r="AC54" s="49"/>
      <c r="AD54" s="49"/>
      <c r="AE54" s="49"/>
      <c r="AF54" s="49"/>
      <c r="AG54" s="49"/>
      <c r="AH54" s="49"/>
      <c r="AI54" s="49"/>
      <c r="AJ54" s="49"/>
      <c r="AK54" s="49"/>
      <c r="AL54" s="49"/>
      <c r="AM54" s="49"/>
      <c r="AN54" s="49"/>
      <c r="AO54" s="49"/>
      <c r="AP54" s="49"/>
      <c r="AQ54" s="49"/>
      <c r="AR54" s="49"/>
      <c r="AS54" s="49"/>
      <c r="AT54" s="49"/>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5"/>
      <c r="BS54" s="45"/>
      <c r="BT54" s="45"/>
      <c r="BU54" s="45"/>
    </row>
    <row r="55" spans="1:73" ht="25.2" x14ac:dyDescent="0.45">
      <c r="A55" s="43"/>
      <c r="B55" s="32"/>
      <c r="C55" s="32"/>
      <c r="D55" s="32"/>
      <c r="E55" s="32"/>
      <c r="F55" s="32"/>
      <c r="G55" s="32"/>
      <c r="H55" s="32"/>
      <c r="I55" s="32"/>
      <c r="J55" s="32"/>
      <c r="K55" s="32"/>
      <c r="L55" s="32"/>
      <c r="M55" s="32"/>
      <c r="N55" s="32"/>
      <c r="O55" s="32"/>
      <c r="P55" s="32"/>
      <c r="Q55" s="32"/>
      <c r="R55" s="32"/>
      <c r="S55" s="32"/>
      <c r="T55" s="32"/>
      <c r="U55" s="32"/>
      <c r="V55" s="32"/>
      <c r="W55" s="32"/>
      <c r="X55" s="49" t="s">
        <v>30</v>
      </c>
      <c r="Y55" s="49"/>
      <c r="Z55" s="49"/>
      <c r="AA55" s="49"/>
      <c r="AB55" s="49"/>
      <c r="AC55" s="49"/>
      <c r="AD55" s="49"/>
      <c r="AE55" s="49"/>
      <c r="AF55" s="49"/>
      <c r="AG55" s="49"/>
      <c r="AH55" s="49"/>
      <c r="AI55" s="49"/>
      <c r="AJ55" s="49"/>
      <c r="AK55" s="49"/>
      <c r="AL55" s="49"/>
      <c r="AM55" s="49"/>
      <c r="AN55" s="49"/>
      <c r="AO55" s="49"/>
      <c r="AP55" s="49"/>
      <c r="AQ55" s="49"/>
      <c r="AR55" s="49"/>
      <c r="AS55" s="49"/>
      <c r="AT55" s="49"/>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5"/>
      <c r="BS55" s="45"/>
      <c r="BT55" s="45"/>
      <c r="BU55" s="45"/>
    </row>
    <row r="56" spans="1:73" ht="25.2" x14ac:dyDescent="0.45">
      <c r="A56" s="32"/>
      <c r="B56" s="32"/>
      <c r="C56" s="32"/>
      <c r="D56" s="32"/>
      <c r="E56" s="32"/>
      <c r="F56" s="32"/>
      <c r="G56" s="32"/>
      <c r="H56" s="32"/>
      <c r="I56" s="32"/>
      <c r="J56" s="32"/>
      <c r="K56" s="32"/>
      <c r="L56" s="32"/>
      <c r="M56" s="32"/>
      <c r="N56" s="32"/>
      <c r="O56" s="32"/>
      <c r="P56" s="32"/>
      <c r="Q56" s="32"/>
      <c r="R56" s="32"/>
      <c r="S56" s="32"/>
      <c r="T56" s="32"/>
      <c r="U56" s="32"/>
      <c r="V56" s="32"/>
      <c r="W56" s="32"/>
      <c r="X56" s="49" t="s">
        <v>30</v>
      </c>
      <c r="Y56" s="49"/>
      <c r="Z56" s="49"/>
      <c r="AA56" s="49"/>
      <c r="AB56" s="49"/>
      <c r="AC56" s="49"/>
      <c r="AD56" s="49"/>
      <c r="AE56" s="49"/>
      <c r="AF56" s="49"/>
      <c r="AG56" s="49"/>
      <c r="AH56" s="49"/>
      <c r="AI56" s="49"/>
      <c r="AJ56" s="49"/>
      <c r="AK56" s="49"/>
      <c r="AL56" s="49"/>
      <c r="AM56" s="49"/>
      <c r="AN56" s="49"/>
      <c r="AO56" s="49"/>
      <c r="AP56" s="49"/>
      <c r="AQ56" s="49"/>
      <c r="AR56" s="49"/>
      <c r="AS56" s="49"/>
      <c r="AT56" s="49"/>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5"/>
      <c r="BS56" s="45"/>
      <c r="BT56" s="45"/>
      <c r="BU56" s="45"/>
    </row>
    <row r="57" spans="1:73" ht="25.2" x14ac:dyDescent="0.45">
      <c r="A57" s="32"/>
      <c r="B57" s="32"/>
      <c r="C57" s="32"/>
      <c r="D57" s="32"/>
      <c r="E57" s="32"/>
      <c r="F57" s="32"/>
      <c r="G57" s="32"/>
      <c r="H57" s="32"/>
      <c r="I57" s="32"/>
      <c r="J57" s="32"/>
      <c r="K57" s="32"/>
      <c r="L57" s="32"/>
      <c r="M57" s="32"/>
      <c r="N57" s="32"/>
      <c r="O57" s="32"/>
      <c r="P57" s="32"/>
      <c r="Q57" s="32"/>
      <c r="R57" s="32"/>
      <c r="S57" s="32"/>
      <c r="T57" s="32"/>
      <c r="U57" s="32"/>
      <c r="V57" s="32"/>
      <c r="W57" s="32"/>
      <c r="X57" s="49" t="s">
        <v>30</v>
      </c>
      <c r="Y57" s="49"/>
      <c r="Z57" s="49"/>
      <c r="AA57" s="49"/>
      <c r="AB57" s="49"/>
      <c r="AC57" s="49"/>
      <c r="AD57" s="49"/>
      <c r="AE57" s="49"/>
      <c r="AF57" s="49"/>
      <c r="AG57" s="49"/>
      <c r="AH57" s="49"/>
      <c r="AI57" s="49"/>
      <c r="AJ57" s="49"/>
      <c r="AK57" s="49"/>
      <c r="AL57" s="49"/>
      <c r="AM57" s="49"/>
      <c r="AN57" s="49"/>
      <c r="AO57" s="49"/>
      <c r="AP57" s="49"/>
      <c r="AQ57" s="49"/>
      <c r="AR57" s="49"/>
      <c r="AS57" s="49"/>
      <c r="AT57" s="49"/>
      <c r="AU57" s="32"/>
      <c r="AV57" s="32"/>
      <c r="AW57" s="32"/>
      <c r="AX57" s="32"/>
      <c r="AY57" s="32"/>
      <c r="AZ57" s="32"/>
      <c r="BA57" s="32"/>
      <c r="BB57" s="32"/>
      <c r="BC57" s="32"/>
      <c r="BD57" s="32"/>
      <c r="BE57" s="32"/>
      <c r="BF57" s="32"/>
      <c r="BG57" s="32"/>
      <c r="BH57" s="32"/>
      <c r="BI57" s="32"/>
      <c r="BJ57" s="32"/>
      <c r="BK57" s="32"/>
      <c r="BL57" s="32"/>
      <c r="BM57" s="32"/>
      <c r="BN57" s="32"/>
      <c r="BO57" s="32"/>
      <c r="BP57" s="32"/>
      <c r="BQ57" s="32"/>
    </row>
    <row r="58" spans="1:73" ht="25.2" x14ac:dyDescent="0.45">
      <c r="A58" s="32"/>
      <c r="B58" s="32"/>
      <c r="C58" s="32"/>
      <c r="D58" s="32"/>
      <c r="E58" s="32"/>
      <c r="F58" s="32"/>
      <c r="G58" s="32"/>
      <c r="H58" s="32"/>
      <c r="I58" s="32"/>
      <c r="J58" s="32"/>
      <c r="K58" s="32"/>
      <c r="L58" s="32"/>
      <c r="M58" s="32"/>
      <c r="N58" s="32"/>
      <c r="O58" s="32"/>
      <c r="P58" s="32"/>
      <c r="Q58" s="32"/>
      <c r="R58" s="32"/>
      <c r="S58" s="32"/>
      <c r="T58" s="32"/>
      <c r="U58" s="32"/>
      <c r="V58" s="32"/>
      <c r="W58" s="32"/>
      <c r="X58" s="49" t="s">
        <v>30</v>
      </c>
      <c r="Y58" s="49"/>
      <c r="Z58" s="49"/>
      <c r="AA58" s="49"/>
      <c r="AB58" s="49"/>
      <c r="AC58" s="49"/>
      <c r="AD58" s="49"/>
      <c r="AE58" s="49"/>
      <c r="AF58" s="49"/>
      <c r="AG58" s="49"/>
      <c r="AH58" s="49"/>
      <c r="AI58" s="49"/>
      <c r="AJ58" s="49"/>
      <c r="AK58" s="49"/>
      <c r="AL58" s="49"/>
      <c r="AM58" s="49"/>
      <c r="AN58" s="49"/>
      <c r="AO58" s="49"/>
      <c r="AP58" s="49"/>
      <c r="AQ58" s="49"/>
      <c r="AR58" s="49"/>
      <c r="AS58" s="49"/>
      <c r="AT58" s="49"/>
      <c r="AU58" s="32"/>
      <c r="AV58" s="32"/>
      <c r="AW58" s="32"/>
      <c r="AX58" s="32"/>
      <c r="AY58" s="32"/>
      <c r="AZ58" s="32"/>
      <c r="BA58" s="32"/>
      <c r="BB58" s="32"/>
      <c r="BC58" s="32"/>
      <c r="BD58" s="32"/>
      <c r="BE58" s="32"/>
      <c r="BF58" s="32"/>
      <c r="BG58" s="32"/>
      <c r="BH58" s="32"/>
      <c r="BI58" s="32"/>
      <c r="BJ58" s="32"/>
      <c r="BK58" s="32"/>
      <c r="BL58" s="32"/>
      <c r="BM58" s="32"/>
      <c r="BN58" s="32"/>
      <c r="BO58" s="32"/>
      <c r="BP58" s="32"/>
      <c r="BQ58" s="32"/>
    </row>
    <row r="59" spans="1:73" ht="25.2" x14ac:dyDescent="0.45">
      <c r="A59" s="32"/>
      <c r="B59" s="32"/>
      <c r="C59" s="32"/>
      <c r="D59" s="32"/>
      <c r="E59" s="32"/>
      <c r="F59" s="32"/>
      <c r="G59" s="32"/>
      <c r="H59" s="32"/>
      <c r="I59" s="32"/>
      <c r="J59" s="32"/>
      <c r="K59" s="32"/>
      <c r="L59" s="32"/>
      <c r="M59" s="32"/>
      <c r="N59" s="32"/>
      <c r="O59" s="32"/>
      <c r="P59" s="32"/>
      <c r="Q59" s="32"/>
      <c r="R59" s="32"/>
      <c r="S59" s="32"/>
      <c r="T59" s="32"/>
      <c r="U59" s="32"/>
      <c r="V59" s="32"/>
      <c r="W59" s="32"/>
      <c r="X59" s="49" t="s">
        <v>30</v>
      </c>
      <c r="Y59" s="49"/>
      <c r="Z59" s="49"/>
      <c r="AA59" s="49"/>
      <c r="AB59" s="49"/>
      <c r="AC59" s="49"/>
      <c r="AD59" s="49"/>
      <c r="AE59" s="49"/>
      <c r="AF59" s="49"/>
      <c r="AG59" s="49"/>
      <c r="AH59" s="49"/>
      <c r="AI59" s="49"/>
      <c r="AJ59" s="49"/>
      <c r="AK59" s="49"/>
      <c r="AL59" s="49"/>
      <c r="AM59" s="49"/>
      <c r="AN59" s="49"/>
      <c r="AO59" s="49"/>
      <c r="AP59" s="49"/>
      <c r="AQ59" s="49"/>
      <c r="AR59" s="49"/>
      <c r="AS59" s="49"/>
      <c r="AT59" s="49"/>
      <c r="AU59" s="32"/>
      <c r="AV59" s="32"/>
      <c r="AW59" s="32"/>
      <c r="AX59" s="32"/>
      <c r="AY59" s="32"/>
      <c r="AZ59" s="32"/>
      <c r="BA59" s="32"/>
      <c r="BB59" s="32"/>
      <c r="BC59" s="32"/>
      <c r="BD59" s="32"/>
      <c r="BE59" s="32"/>
      <c r="BF59" s="32"/>
      <c r="BG59" s="32"/>
      <c r="BH59" s="32"/>
      <c r="BI59" s="32"/>
      <c r="BJ59" s="32"/>
      <c r="BK59" s="32"/>
      <c r="BL59" s="32"/>
      <c r="BM59" s="32"/>
      <c r="BN59" s="32"/>
      <c r="BO59" s="32"/>
      <c r="BP59" s="32"/>
      <c r="BQ59" s="32"/>
    </row>
    <row r="60" spans="1:73" ht="25.2" x14ac:dyDescent="0.45">
      <c r="A60" s="32"/>
      <c r="B60" s="32"/>
      <c r="C60" s="32"/>
      <c r="D60" s="32"/>
      <c r="E60" s="32"/>
      <c r="F60" s="32"/>
      <c r="G60" s="32"/>
      <c r="H60" s="32"/>
      <c r="I60" s="32"/>
      <c r="J60" s="32"/>
      <c r="K60" s="32"/>
      <c r="L60" s="32"/>
      <c r="M60" s="32"/>
      <c r="N60" s="32"/>
      <c r="O60" s="32"/>
      <c r="P60" s="32"/>
      <c r="Q60" s="32"/>
      <c r="R60" s="32"/>
      <c r="S60" s="32"/>
      <c r="T60" s="32"/>
      <c r="U60" s="32"/>
      <c r="V60" s="32"/>
      <c r="W60" s="32"/>
      <c r="X60" s="49" t="s">
        <v>30</v>
      </c>
      <c r="Y60" s="49"/>
      <c r="Z60" s="49"/>
      <c r="AA60" s="49"/>
      <c r="AB60" s="49"/>
      <c r="AC60" s="49"/>
      <c r="AD60" s="49"/>
      <c r="AE60" s="49"/>
      <c r="AF60" s="49"/>
      <c r="AG60" s="49"/>
      <c r="AH60" s="49"/>
      <c r="AI60" s="49"/>
      <c r="AJ60" s="49"/>
      <c r="AK60" s="49"/>
      <c r="AL60" s="49"/>
      <c r="AM60" s="49"/>
      <c r="AN60" s="49"/>
      <c r="AO60" s="49"/>
      <c r="AP60" s="49"/>
      <c r="AQ60" s="49"/>
      <c r="AR60" s="49"/>
      <c r="AS60" s="49"/>
      <c r="AT60" s="49"/>
      <c r="AU60" s="32"/>
      <c r="AV60" s="32"/>
      <c r="AW60" s="32"/>
      <c r="AX60" s="32"/>
      <c r="AY60" s="32"/>
      <c r="AZ60" s="32"/>
      <c r="BA60" s="32"/>
      <c r="BB60" s="32"/>
      <c r="BC60" s="32"/>
      <c r="BD60" s="32"/>
      <c r="BE60" s="32"/>
      <c r="BF60" s="32"/>
      <c r="BG60" s="32"/>
      <c r="BH60" s="32"/>
      <c r="BI60" s="32"/>
      <c r="BJ60" s="32"/>
      <c r="BK60" s="32"/>
      <c r="BL60" s="32"/>
      <c r="BM60" s="32"/>
      <c r="BN60" s="32"/>
      <c r="BO60" s="32"/>
      <c r="BP60" s="32"/>
      <c r="BQ60" s="32"/>
    </row>
    <row r="61" spans="1:73" ht="25.2" x14ac:dyDescent="0.45">
      <c r="A61" s="32"/>
      <c r="B61" s="32"/>
      <c r="C61" s="32"/>
      <c r="D61" s="32"/>
      <c r="E61" s="32"/>
      <c r="F61" s="32"/>
      <c r="G61" s="32"/>
      <c r="H61" s="32"/>
      <c r="I61" s="32"/>
      <c r="J61" s="32"/>
      <c r="K61" s="32"/>
      <c r="L61" s="32"/>
      <c r="M61" s="32"/>
      <c r="N61" s="32"/>
      <c r="O61" s="32"/>
      <c r="P61" s="32"/>
      <c r="Q61" s="32"/>
      <c r="R61" s="32"/>
      <c r="S61" s="32"/>
      <c r="T61" s="32"/>
      <c r="U61" s="32"/>
      <c r="V61" s="32"/>
      <c r="W61" s="32"/>
      <c r="X61" s="49" t="s">
        <v>30</v>
      </c>
      <c r="Y61" s="49"/>
      <c r="Z61" s="49"/>
      <c r="AA61" s="49"/>
      <c r="AB61" s="49"/>
      <c r="AC61" s="49"/>
      <c r="AD61" s="49"/>
      <c r="AE61" s="49"/>
      <c r="AF61" s="49"/>
      <c r="AG61" s="49"/>
      <c r="AH61" s="49"/>
      <c r="AI61" s="49"/>
      <c r="AJ61" s="49"/>
      <c r="AK61" s="49"/>
      <c r="AL61" s="49"/>
      <c r="AM61" s="49"/>
      <c r="AN61" s="49"/>
      <c r="AO61" s="49"/>
      <c r="AP61" s="49"/>
      <c r="AQ61" s="49"/>
      <c r="AR61" s="49"/>
      <c r="AS61" s="49"/>
      <c r="AT61" s="49"/>
      <c r="AU61" s="32"/>
      <c r="AV61" s="32"/>
      <c r="AW61" s="32"/>
      <c r="AX61" s="32"/>
      <c r="AY61" s="32"/>
      <c r="AZ61" s="32"/>
      <c r="BA61" s="32"/>
      <c r="BB61" s="32"/>
      <c r="BC61" s="32"/>
      <c r="BD61" s="32"/>
      <c r="BE61" s="32"/>
      <c r="BF61" s="32"/>
      <c r="BG61" s="32"/>
      <c r="BH61" s="32"/>
      <c r="BI61" s="32"/>
      <c r="BJ61" s="32"/>
      <c r="BK61" s="32"/>
      <c r="BL61" s="32"/>
      <c r="BM61" s="32"/>
      <c r="BN61" s="32"/>
      <c r="BO61" s="32"/>
      <c r="BP61" s="32"/>
      <c r="BQ61" s="32"/>
    </row>
    <row r="62" spans="1:73" ht="25.2" x14ac:dyDescent="0.45">
      <c r="A62" s="32"/>
      <c r="B62" s="32"/>
      <c r="C62" s="32"/>
      <c r="D62" s="32"/>
      <c r="E62" s="32"/>
      <c r="F62" s="32"/>
      <c r="G62" s="32"/>
      <c r="H62" s="32"/>
      <c r="I62" s="32"/>
      <c r="J62" s="32"/>
      <c r="K62" s="32"/>
      <c r="L62" s="32"/>
      <c r="M62" s="32"/>
      <c r="N62" s="32"/>
      <c r="O62" s="32"/>
      <c r="P62" s="32"/>
      <c r="Q62" s="32"/>
      <c r="R62" s="32"/>
      <c r="S62" s="32"/>
      <c r="T62" s="32"/>
      <c r="U62" s="32"/>
      <c r="V62" s="32"/>
      <c r="W62" s="32"/>
      <c r="X62" s="49" t="s">
        <v>30</v>
      </c>
      <c r="Y62" s="49"/>
      <c r="Z62" s="49"/>
      <c r="AA62" s="49"/>
      <c r="AB62" s="49"/>
      <c r="AC62" s="49"/>
      <c r="AD62" s="49"/>
      <c r="AE62" s="49"/>
      <c r="AF62" s="49"/>
      <c r="AG62" s="49"/>
      <c r="AH62" s="49"/>
      <c r="AI62" s="49"/>
      <c r="AJ62" s="49"/>
      <c r="AK62" s="49"/>
      <c r="AL62" s="49"/>
      <c r="AM62" s="49"/>
      <c r="AN62" s="49"/>
      <c r="AO62" s="49"/>
      <c r="AP62" s="49"/>
      <c r="AQ62" s="49"/>
      <c r="AR62" s="49"/>
      <c r="AS62" s="49"/>
      <c r="AT62" s="49"/>
      <c r="AU62" s="32"/>
      <c r="AV62" s="32"/>
      <c r="AW62" s="32"/>
      <c r="AX62" s="32"/>
      <c r="AY62" s="32"/>
      <c r="AZ62" s="32"/>
      <c r="BA62" s="32"/>
      <c r="BB62" s="32"/>
      <c r="BC62" s="32"/>
      <c r="BD62" s="32"/>
      <c r="BE62" s="32"/>
      <c r="BF62" s="32"/>
      <c r="BG62" s="32"/>
      <c r="BH62" s="32"/>
      <c r="BI62" s="32"/>
      <c r="BJ62" s="32"/>
      <c r="BK62" s="32"/>
      <c r="BL62" s="32"/>
      <c r="BM62" s="32"/>
      <c r="BN62" s="32"/>
      <c r="BO62" s="32"/>
      <c r="BP62" s="32"/>
      <c r="BQ62" s="32"/>
    </row>
    <row r="63" spans="1:73" ht="25.2" x14ac:dyDescent="0.45">
      <c r="A63" s="32"/>
      <c r="B63" s="32"/>
      <c r="C63" s="32"/>
      <c r="D63" s="32"/>
      <c r="E63" s="32"/>
      <c r="F63" s="32"/>
      <c r="G63" s="32"/>
      <c r="H63" s="32"/>
      <c r="I63" s="32"/>
      <c r="J63" s="32"/>
      <c r="K63" s="32"/>
      <c r="L63" s="32"/>
      <c r="M63" s="32"/>
      <c r="N63" s="32"/>
      <c r="O63" s="32"/>
      <c r="P63" s="32"/>
      <c r="Q63" s="32"/>
      <c r="R63" s="32"/>
      <c r="S63" s="32"/>
      <c r="T63" s="32"/>
      <c r="U63" s="32"/>
      <c r="V63" s="32"/>
      <c r="W63" s="32"/>
      <c r="X63" s="49" t="s">
        <v>30</v>
      </c>
      <c r="Y63" s="49"/>
      <c r="Z63" s="49"/>
      <c r="AA63" s="49"/>
      <c r="AB63" s="49"/>
      <c r="AC63" s="49"/>
      <c r="AD63" s="49"/>
      <c r="AE63" s="49"/>
      <c r="AF63" s="49"/>
      <c r="AG63" s="49"/>
      <c r="AH63" s="49"/>
      <c r="AI63" s="49"/>
      <c r="AJ63" s="49"/>
      <c r="AK63" s="49"/>
      <c r="AL63" s="49"/>
      <c r="AM63" s="49"/>
      <c r="AN63" s="49"/>
      <c r="AO63" s="49"/>
      <c r="AP63" s="49"/>
      <c r="AQ63" s="49"/>
      <c r="AR63" s="49"/>
      <c r="AS63" s="49"/>
      <c r="AT63" s="49"/>
      <c r="AU63" s="32"/>
      <c r="AV63" s="32"/>
      <c r="AW63" s="32"/>
      <c r="AX63" s="32"/>
      <c r="AY63" s="32"/>
      <c r="AZ63" s="32"/>
      <c r="BA63" s="32"/>
      <c r="BB63" s="32"/>
      <c r="BC63" s="32"/>
      <c r="BD63" s="32"/>
      <c r="BE63" s="32"/>
      <c r="BF63" s="32"/>
      <c r="BG63" s="32"/>
      <c r="BH63" s="32"/>
      <c r="BI63" s="32"/>
      <c r="BJ63" s="32"/>
      <c r="BK63" s="32"/>
      <c r="BL63" s="32"/>
      <c r="BM63" s="32"/>
      <c r="BN63" s="32"/>
      <c r="BO63" s="32"/>
      <c r="BP63" s="32"/>
      <c r="BQ63" s="32"/>
    </row>
    <row r="64" spans="1:73" ht="25.2" x14ac:dyDescent="0.45">
      <c r="A64" s="17"/>
      <c r="B64" s="17"/>
      <c r="C64" s="17"/>
      <c r="D64" s="17"/>
      <c r="E64" s="17"/>
      <c r="F64" s="17"/>
      <c r="G64" s="17"/>
      <c r="H64" s="17"/>
      <c r="I64" s="17"/>
      <c r="J64" s="17"/>
      <c r="K64" s="17"/>
      <c r="L64" s="17"/>
      <c r="M64" s="17"/>
      <c r="N64" s="17"/>
      <c r="O64" s="17"/>
      <c r="P64" s="17"/>
      <c r="Q64" s="17"/>
      <c r="R64" s="17"/>
      <c r="S64" s="17"/>
      <c r="T64" s="17"/>
      <c r="U64" s="17"/>
      <c r="V64" s="17"/>
      <c r="W64" s="17"/>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17"/>
      <c r="AV64" s="17"/>
      <c r="AW64" s="17"/>
      <c r="AX64" s="17"/>
      <c r="AY64" s="17"/>
      <c r="AZ64" s="17"/>
      <c r="BA64" s="17"/>
      <c r="BB64" s="17"/>
      <c r="BC64" s="17"/>
      <c r="BD64" s="17"/>
      <c r="BE64" s="17"/>
      <c r="BF64" s="17"/>
      <c r="BG64" s="17"/>
      <c r="BH64" s="17"/>
      <c r="BI64" s="17"/>
      <c r="BJ64" s="17"/>
      <c r="BK64" s="17"/>
      <c r="BL64" s="17"/>
      <c r="BM64" s="17"/>
      <c r="BN64" s="17"/>
      <c r="BO64" s="17"/>
      <c r="BP64" s="17"/>
      <c r="BQ64" s="17"/>
    </row>
    <row r="65" spans="1:69"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row>
    <row r="66" spans="1:69"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row>
    <row r="67" spans="1:69"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row>
    <row r="68" spans="1:69"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row>
    <row r="69" spans="1:69"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row>
    <row r="70" spans="1:69"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row>
  </sheetData>
  <mergeCells count="64">
    <mergeCell ref="X1:AT1"/>
    <mergeCell ref="X2:AT2"/>
    <mergeCell ref="X3:AT3"/>
    <mergeCell ref="X4:AT4"/>
    <mergeCell ref="X5:AT5"/>
    <mergeCell ref="X6:AT6"/>
    <mergeCell ref="X7:AT7"/>
    <mergeCell ref="X8:AT8"/>
    <mergeCell ref="X9:AT9"/>
    <mergeCell ref="X10:AT10"/>
    <mergeCell ref="X11:AT11"/>
    <mergeCell ref="X12:AT12"/>
    <mergeCell ref="X13:AT13"/>
    <mergeCell ref="X14:AT14"/>
    <mergeCell ref="X15:AT15"/>
    <mergeCell ref="X16:AT16"/>
    <mergeCell ref="X17:AT17"/>
    <mergeCell ref="X18:AT18"/>
    <mergeCell ref="X19:AT19"/>
    <mergeCell ref="X20:AT20"/>
    <mergeCell ref="X21:AT21"/>
    <mergeCell ref="X22:AT22"/>
    <mergeCell ref="X23:AT23"/>
    <mergeCell ref="X24:AT24"/>
    <mergeCell ref="X25:AT25"/>
    <mergeCell ref="X26:AT26"/>
    <mergeCell ref="X27:AT27"/>
    <mergeCell ref="X28:AT28"/>
    <mergeCell ref="X29:AT29"/>
    <mergeCell ref="X30:AT30"/>
    <mergeCell ref="X31:AT31"/>
    <mergeCell ref="X32:AT32"/>
    <mergeCell ref="X33:AT33"/>
    <mergeCell ref="X34:AT34"/>
    <mergeCell ref="X35:AT35"/>
    <mergeCell ref="X36:AT36"/>
    <mergeCell ref="X37:AT37"/>
    <mergeCell ref="X38:AT38"/>
    <mergeCell ref="X39:AT39"/>
    <mergeCell ref="X40:AT40"/>
    <mergeCell ref="X41:AT41"/>
    <mergeCell ref="X42:AT42"/>
    <mergeCell ref="X43:AT43"/>
    <mergeCell ref="X44:AT44"/>
    <mergeCell ref="X45:AT45"/>
    <mergeCell ref="X46:AT46"/>
    <mergeCell ref="X47:AT47"/>
    <mergeCell ref="X48:AT48"/>
    <mergeCell ref="X49:AT49"/>
    <mergeCell ref="X50:AT50"/>
    <mergeCell ref="X51:AT51"/>
    <mergeCell ref="X52:AT52"/>
    <mergeCell ref="X53:AT53"/>
    <mergeCell ref="X54:AT54"/>
    <mergeCell ref="X55:AT55"/>
    <mergeCell ref="X56:AT56"/>
    <mergeCell ref="X57:AT57"/>
    <mergeCell ref="X58:AT58"/>
    <mergeCell ref="X64:AT64"/>
    <mergeCell ref="X59:AT59"/>
    <mergeCell ref="X60:AT60"/>
    <mergeCell ref="X61:AT61"/>
    <mergeCell ref="X62:AT62"/>
    <mergeCell ref="X63:AT6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Table </vt:lpstr>
      <vt:lpstr>Analysis.2</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Alia Arif</dc:creator>
  <cp:lastModifiedBy>Alia Arif</cp:lastModifiedBy>
  <dcterms:created xsi:type="dcterms:W3CDTF">2026-05-11T18:26:57Z</dcterms:created>
  <dcterms:modified xsi:type="dcterms:W3CDTF">2026-05-20T18:31:57Z</dcterms:modified>
</cp:coreProperties>
</file>